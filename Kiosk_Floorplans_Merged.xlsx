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loorplans" sheetId="1" state="visible" r:id="rId3"/>
    <sheet name="Needs review" sheetId="2" state="visible" r:id="rId4"/>
    <sheet name="Other listings" sheetId="3" state="visible" r:id="rId5"/>
    <sheet name="Read me" sheetId="4" state="visible" r:id="rId6"/>
  </sheets>
  <definedNames>
    <definedName function="false" hidden="true" localSheetId="0" name="_xlnm._FilterDatabase" vbProcedure="false">Floorplans!$A$1:$AI$167</definedName>
    <definedName function="false" hidden="true" localSheetId="1" name="_xlnm._FilterDatabase" vbProcedure="false">'Needs review'!$A$1:$E$89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<sst xmlns="http://schemas.openxmlformats.org/spreadsheetml/2006/main" count="3744" uniqueCount="1342">
  <si>
    <t xml:space="preserve">Display name</t>
  </si>
  <si>
    <t xml:space="preserve">ID</t>
  </si>
  <si>
    <t xml:space="preserve">Manufacturer</t>
  </si>
  <si>
    <t xml:space="preserve">Series</t>
  </si>
  <si>
    <t xml:space="preserve">Version</t>
  </si>
  <si>
    <t xml:space="preserve">Category</t>
  </si>
  <si>
    <t xml:space="preserve">Model number</t>
  </si>
  <si>
    <t xml:space="preserve">Model name</t>
  </si>
  <si>
    <t xml:space="preserve">Bedrooms</t>
  </si>
  <si>
    <t xml:space="preserve">Bathrooms</t>
  </si>
  <si>
    <t xml:space="preserve">Sq ft</t>
  </si>
  <si>
    <t xml:space="preserve">Width (ft)</t>
  </si>
  <si>
    <t xml:space="preserve">Length (ft)</t>
  </si>
  <si>
    <t xml:space="preserve">Sections</t>
  </si>
  <si>
    <t xml:space="preserve">Size (original text)</t>
  </si>
  <si>
    <t xml:space="preserve">Show on kiosk</t>
  </si>
  <si>
    <t xml:space="preserve">Why not shown</t>
  </si>
  <si>
    <t xml:space="preserve">Price</t>
  </si>
  <si>
    <t xml:space="preserve">Has 3D tour</t>
  </si>
  <si>
    <t xml:space="preserve">Floorplan PDF</t>
  </si>
  <si>
    <t xml:space="preserve">360 rendering (Momento360)</t>
  </si>
  <si>
    <t xml:space="preserve">Matterport tour</t>
  </si>
  <si>
    <t xml:space="preserve">Other 3D tour</t>
  </si>
  <si>
    <t xml:space="preserve">Main photo</t>
  </si>
  <si>
    <t xml:space="preserve">All photos (semicolon-separated)</t>
  </si>
  <si>
    <t xml:space="preserve">Description</t>
  </si>
  <si>
    <t xml:space="preserve">Construction specs</t>
  </si>
  <si>
    <t xml:space="preserve">Exterior specs</t>
  </si>
  <si>
    <t xml:space="preserve">Interior specs</t>
  </si>
  <si>
    <t xml:space="preserve">Utilities specs</t>
  </si>
  <si>
    <t xml:space="preserve">Kitchen &amp; bath specs</t>
  </si>
  <si>
    <t xml:space="preserve">In spreadsheet</t>
  </si>
  <si>
    <t xml:space="preserve">In store catalog</t>
  </si>
  <si>
    <t xml:space="preserve">Visible in store</t>
  </si>
  <si>
    <t xml:space="preserve">Open review items</t>
  </si>
  <si>
    <t xml:space="preserve">Dream Silver Casita</t>
  </si>
  <si>
    <t xml:space="preserve">gw-dream-silver-casita</t>
  </si>
  <si>
    <t xml:space="preserve">Golden West</t>
  </si>
  <si>
    <t xml:space="preserve">Dream Silver</t>
  </si>
  <si>
    <t xml:space="preserve">Standard</t>
  </si>
  <si>
    <t xml:space="preserve">Floorplan</t>
  </si>
  <si>
    <t xml:space="preserve">30-1 ADU</t>
  </si>
  <si>
    <t xml:space="preserve">Casita</t>
  </si>
  <si>
    <t xml:space="preserve">Single</t>
  </si>
  <si>
    <t xml:space="preserve">13' 6" WIDE</t>
  </si>
  <si>
    <t xml:space="preserve">Yes</t>
  </si>
  <si>
    <t xml:space="preserve">https://raw.githubusercontent.com/CadelMVH/Wix-Gallery-Downloads/main/DRM/Casita.pdf</t>
  </si>
  <si>
    <t xml:space="preserve">https://momento360.com/e/uc/dcc793a4ecd5443eab27501b640cf53b</t>
  </si>
  <si>
    <t xml:space="preserve">https://static.wixstatic.com/media/866235_9c8d2709b61a478ebb1b659915750f8b~mv2.webp</t>
  </si>
  <si>
    <t xml:space="preserve">https://static.wixstatic.com/media/866235_9c8d2709b61a478ebb1b659915750f8b~mv2.webp; https://static.wixstatic.com/media/866235_180ed77e6d0c4e489699bf325119ba07~mv2.webp</t>
  </si>
  <si>
    <t xml:space="preserve">The Dream Silver / 30-1 ADU Casita built by Golden West Homes provides 409 square feet of efficiently crafted living space, featuring 1 bedroom and 1 bathroom. This manufactured home is perfect for those seeking a cozy yet functional layout, with an open area ideal for daily relaxation and a private bedroom that offers a restful escape. The 30-1 ADU Casita is an excellent choice for individuals or couples looking for a compact, modern home that combines practicality with a welcoming, comfortable atmosphere.</t>
  </si>
  <si>
    <t xml:space="preserve">Additional Specs: In-Floor Waste Plumbing / Kiln Dried Framing Lumber / GFI Receptacle at all Wet Areas; Exterior Wall On Center: 16” O.C.; Exterior Wall Studs: 2'x6' Exterior Walls; Floor Decking: 19/32” OSB T&amp;G Floor Decking; Floor Joists: 2x6 Floor Joists -16” O.C.; Roof Load: 30# Roof Load; Side Wall Height: 96” Sidewall (Flat Ceiling); Insulation (Floors): R-33; Insulation (Walls): R-21; Insulation (Ceiling): R-40</t>
  </si>
  <si>
    <t xml:space="preserve">Additional Specs: 2x8 Rough Sawn / Continuous Eave Soffit Venting / Ridge Style Roof Venting / Deadbolts on Front and Rear Doors; Front Door: 36” Front Doors; Rear Door: 36” Rear Doors; Roof Pitch: 3:12 (4:12 pitch single sections); Shingles: Architectural Shingles; Siding: LP Smart Panel Siding w/5/50 year warranty; Window Trim: 4” Window Trim; Window Type: Dual Pane Low-E Windows; Exterior Lighting: Porch Lights at each Exterior Entry; Front Rear Eaves: Exterior 14" Eaves Double wide, 6" Single wide; Exterior Outlets: Exterior 2 GFI Standard</t>
  </si>
  <si>
    <t xml:space="preserve">Ceiling Texture: Brocade Style Ceiling Drywall Finish; Door Carpet Type: Entry Lino; Safety Alarms: Smoke Alarms, Bdrms &amp; Living Areas; Window Type: Wood Window Interior Wrap / Egress Windows in all Bedrooms; Molding: Baseboard Molding in Lino Areas; Wall Finish: Tape and Texture Drywall Throughout / Square Sheetrock Corners; Interior Doors: 2-Panel Interior Doors; Carpet Type Or Grade: 5# Carpet Pad / New Wave 25oz Carpet</t>
  </si>
  <si>
    <t xml:space="preserve">Electrical Service: 200 Amp Electrical Service; Electrical Wiring: All Copper Wiring; Furnace: Forced Air Elect Down Flow Furnace; Other: Receptacle at Fresh Water Inlet; Shut Off Valves Throughout: Whole House Shut-off Valve; Thermostat: EcoBee T-Stat; Washer Dryer Hook Up: Plumbed/Wire For Washer and Dryer; Water Heater: 40 Gallon Electric Water Heater; Water Shut Off Valves: Shut-Off Valves at Toilets &amp; Sinks</t>
  </si>
  <si>
    <t xml:space="preserve">Kitchen Sink: Kitchen Sink 8” Stainless Steel; Kitchen Refrigerator: Frigidaire 18 cu ft Refrigerator; Kitchen Range Type: Frigidaire Free Standing Range; Kitchen Range Hood: 30” Lighted Exhaust Fan over Range; Kitchen Lighting: Recessed Lights (Qty. Per Model); Kitchen Flooring: No-Wax Vinyl Flooring; Kitchen Faucets: Single Lever Faucet with Sprayer; Kitchen Countertops: Laminated Counter Tops / Crescent Edge T/Out; Kitchen Additional Specs: Fire Extinguisher Under Sink; Bathroom Sink: China Lavy Sinks; Bathroom Lighting: Recessed Lights (Per Model); Bathroom Flooring: No-Wax Vinyl Flooring; Bathroom Countertops: Laminated Counter Tops / Crescent Edge T/Out; Bathroom Faucets: Adjustable Shower Heads; Bathroom Fans: Exhaust Fans w/Light in each Bath; Bathroom Toilet Type: Elongated Toilets; Bathroom Bathtubs: 60” Fiberglass Tub/Shower in each Bath</t>
  </si>
  <si>
    <t xml:space="preserve">Dream Silver 401M</t>
  </si>
  <si>
    <t xml:space="preserve">gw-dream-silver-401m</t>
  </si>
  <si>
    <t xml:space="preserve">DRM 401M</t>
  </si>
  <si>
    <t xml:space="preserve">https://momento360.com/e/uc/999746fb962b487c85886840fcc14234</t>
  </si>
  <si>
    <t xml:space="preserve">https://static.wixstatic.com/media/866235_6da00937ee914326a828426428da3156~mv2.webp</t>
  </si>
  <si>
    <t xml:space="preserve">The Dream Silver / DRM 401M built by Golden West Homes offers 540 square feet of thoughtfully designed living space, featuring 1 bedroom and 1 bathroom. This manufactured home maximizes compact living, with an efficient layout that provides a comfortable open area for daily living and a private bedroom that ensures a restful retreat. The DRM 401M is an ideal option for those seeking a modern, streamlined home that balances style and functionality, making it perfect for cozy living or a stylish escape.</t>
  </si>
  <si>
    <t xml:space="preserve">Dream Silver 301P</t>
  </si>
  <si>
    <t xml:space="preserve">gw-dream-silver-301p</t>
  </si>
  <si>
    <t xml:space="preserve">DRM 301P</t>
  </si>
  <si>
    <t xml:space="preserve">Double</t>
  </si>
  <si>
    <t xml:space="preserve">20' WIDE</t>
  </si>
  <si>
    <t xml:space="preserve">https://raw.githubusercontent.com/CadelMVH/Wix-Gallery-Downloads/main/DRM/301P.pdf</t>
  </si>
  <si>
    <t xml:space="preserve">https://momento360.com/e/uc/ef300530b0e543a992478916e4be7d57</t>
  </si>
  <si>
    <t xml:space="preserve">https://static.wixstatic.com/media/866235_bcc9274dcd004055ba80525c2dcf17eb~mv2.webp</t>
  </si>
  <si>
    <t xml:space="preserve">https://static.wixstatic.com/media/866235_bcc9274dcd004055ba80525c2dcf17eb~mv2.webp; https://static.wixstatic.com/media/866235_5113cc8a7c0c4f5495c1c5811a5a4834~mv2.webp</t>
  </si>
  <si>
    <t xml:space="preserve">The Dream Silver / DRM 301P built by Golden West Homes offers 547 square feet of efficiently designed living space, featuring 1 bedroom and 1 bathroom. This manufactured home maximizes comfort within a compact footprint, with an open living area that enhances functionality and a private bedroom that provides a restful retreat. The DRM 301P is an ideal choice for individuals or couples seeking a cozy, modern home that blends practicality with style, making it perfect for those who appreciate efficient, comfortable living.</t>
  </si>
  <si>
    <t xml:space="preserve">Dream Silver 481M</t>
  </si>
  <si>
    <t xml:space="preserve">gw-dream-silver-481m</t>
  </si>
  <si>
    <t xml:space="preserve">DRM 481M</t>
  </si>
  <si>
    <t xml:space="preserve">https://raw.githubusercontent.com/CadelMVH/Wix-Gallery-Downloads/main/DRM/481M.pdf</t>
  </si>
  <si>
    <t xml:space="preserve">https://momento360.com/e/uc/76f05bf3de0a4e5f9b2e5b03c47ce5c8</t>
  </si>
  <si>
    <t xml:space="preserve">https://static.wixstatic.com/media/866235_c6ca4fc7e5b64058ba2e55542548fe99~mv2.webp</t>
  </si>
  <si>
    <t xml:space="preserve">https://static.wixstatic.com/media/866235_c6ca4fc7e5b64058ba2e55542548fe99~mv2.webp; https://static.wixstatic.com/media/866235_ddb53fb332074daf9a216a19491433fd~mv2.webp; https://static.wixstatic.com/media/866235_7fe235120b5d423dba1b74eef517ff23~mv2.webp; https://static.wixstatic.com/media/866235_ce23bacb3de4418aaa21023b3a0d0a20~mv2.webp; https://static.wixstatic.com/media/866235_c392d7f58e974a2ca49923280a6c0ae4~mv2.webp; https://static.wixstatic.com/media/866235_83870faf8db44ad8a881d7b5651235cc~mv2.webp; https://static.wixstatic.com/media/866235_6b4d6779a66e410da1571f9cae425a43~mv2.webp</t>
  </si>
  <si>
    <t xml:space="preserve">The Dream Silver / DRM 481M built by Golden West Homes offers 648 square feet of efficiently designed living space, featuring 2 bedrooms and 1 bathroom. This manufactured home makes the most of every square foot, with a smart layout that fosters both comfort and functionality, ideal for cozy living. The DRM 481M is a great choice for individuals or couples looking for a compact, contemporary home that provides a sense of style and purpose, making it a perfect fit for efficient everyday living or a welcoming retreat.</t>
  </si>
  <si>
    <t xml:space="preserve">Dream Silver 521M</t>
  </si>
  <si>
    <t xml:space="preserve">gw-dream-silver-521m</t>
  </si>
  <si>
    <t xml:space="preserve">DRM 521M</t>
  </si>
  <si>
    <t xml:space="preserve">https://raw.githubusercontent.com/CadelMVH/Wix-Gallery-Downloads/main/DRM/521M.pdf</t>
  </si>
  <si>
    <t xml:space="preserve">https://static.wixstatic.com/media/866235_922087d54c3142fab96a9b0d853664b0~mv2.webp</t>
  </si>
  <si>
    <t xml:space="preserve">https://static.wixstatic.com/media/866235_922087d54c3142fab96a9b0d853664b0~mv2.webp; https://static.wixstatic.com/media/866235_78ff8acef6b04600a11862b5dba051d3~mv2.webp</t>
  </si>
  <si>
    <t xml:space="preserve">The Dream Silver / DRM 521M built by Golden West Homes offers 702 square feet of efficient living space, featuring 2 bedrooms and 1 bathroom. This manufactured home is thoughtfully designed to maximize functionality within a compact layout, providing open areas for comfortable daily living and private bedrooms that offer a cozy retreat. The DRM 521M is an ideal choice for individuals or couples seeking a modern, compact home that blends practicality with a welcoming atmosphere, perfect for both short stays and long-term living.</t>
  </si>
  <si>
    <t xml:space="preserve">Dream Silver 561M</t>
  </si>
  <si>
    <t xml:space="preserve">gw-dream-silver-561m</t>
  </si>
  <si>
    <t xml:space="preserve">DRM 561M</t>
  </si>
  <si>
    <t xml:space="preserve">https://raw.githubusercontent.com/CadelMVH/Wix-Gallery-Downloads/main/DRM/561M.pdf</t>
  </si>
  <si>
    <t xml:space="preserve">https://momento360.com/e/uc/1e50ee51532140168e6d78c231a912b3</t>
  </si>
  <si>
    <t xml:space="preserve">https://static.wixstatic.com/media/866235_579e0afb28c04b948113103ece5efb72~mv2.webp</t>
  </si>
  <si>
    <t xml:space="preserve">https://static.wixstatic.com/media/866235_579e0afb28c04b948113103ece5efb72~mv2.webp; https://static.wixstatic.com/media/866235_db9ead3354564a06bebb40edb426ab00~mv2.webp</t>
  </si>
  <si>
    <t xml:space="preserve">The Dream Silver / DRM 561M built by Golden West Homes offers 756 square feet of efficiently designed living space, featuring 2 bedrooms and 1 bathroom. This manufactured home combines functionality with style, providing an open layout ideal for comfortable living and private bedrooms that ensure a cozy retreat. The DRM 561M is a fantastic option for individuals or couples seeking a modern, compact home that balances convenience with warmth, making it perfect for those who value both practicality and comfort.</t>
  </si>
  <si>
    <t xml:space="preserve">Dream Silver 402P</t>
  </si>
  <si>
    <t xml:space="preserve">gw-dream-silver-402p</t>
  </si>
  <si>
    <t xml:space="preserve">DRM 402P</t>
  </si>
  <si>
    <t xml:space="preserve">https://raw.githubusercontent.com/CadelMVH/Wix-Gallery-Downloads/main/DRM/402P.pdf</t>
  </si>
  <si>
    <t xml:space="preserve">https://static.wixstatic.com/media/866235_6b17783274284ee284b3af18c0ff5630~mv2.webp</t>
  </si>
  <si>
    <t xml:space="preserve">https://static.wixstatic.com/media/866235_6b17783274284ee284b3af18c0ff5630~mv2.webp; https://static.wixstatic.com/media/866235_18f79ac33f7b4b3dad4f47a6354a4fa8~mv2.webp</t>
  </si>
  <si>
    <t xml:space="preserve">The Dream Silver / DRM 402P built by Golden West Homes offers 800 square feet of carefully designed living space, featuring 2 bedrooms and 2 bathrooms. This manufactured home is ideal for those seeking a balance of style and function, with an open layout that maximizes comfort and private bedrooms that create a cozy retreat. The DRM 402P is a perfect choice for individuals or couples looking for a compact, modern home that combines practicality with a warm, inviting atmosphere, making it ideal for daily living or peaceful escapes.</t>
  </si>
  <si>
    <t xml:space="preserve">Dream Silver 601M</t>
  </si>
  <si>
    <t xml:space="preserve">gw-dream-silver-601m</t>
  </si>
  <si>
    <t xml:space="preserve">DRM 601M</t>
  </si>
  <si>
    <t xml:space="preserve">https://raw.githubusercontent.com/CadelMVH/Wix-Gallery-Downloads/main/DRM/601M.pdf</t>
  </si>
  <si>
    <t xml:space="preserve">https://momento360.com/e/uc/cfb0e6eec7534aa0b42e80ae49f4de3d</t>
  </si>
  <si>
    <t xml:space="preserve">https://static.wixstatic.com/media/866235_dbbdc0ecf3d240509760767069035fd9~mv2.webp</t>
  </si>
  <si>
    <t xml:space="preserve">https://static.wixstatic.com/media/866235_dbbdc0ecf3d240509760767069035fd9~mv2.webp; https://static.wixstatic.com/media/866235_556c72e3dc8b45d484c129c3cb75bfdf~mv2.webp</t>
  </si>
  <si>
    <t xml:space="preserve">The Dream Silver / DRM 601M built by Golden West Homes provides 810 square feet of efficiently planned living space, featuring 2 bedrooms and 2 bathrooms. This manufactured home is thoughtfully designed to maximize comfort in a compact layout, with open living areas that enhance social spaces and private bedrooms that offer a restful retreat. The DRM 601M is an ideal choice for those seeking a modern, streamlined home that combines practicality with a welcoming atmosphere for daily living or weekend escapes.</t>
  </si>
  <si>
    <t xml:space="preserve">Dream Silver 562N</t>
  </si>
  <si>
    <t xml:space="preserve">gw-dream-silver-562n</t>
  </si>
  <si>
    <t xml:space="preserve">DRM 562N</t>
  </si>
  <si>
    <t xml:space="preserve">15' WIDE</t>
  </si>
  <si>
    <t xml:space="preserve">https://raw.githubusercontent.com/CadelMVH/Wix-Gallery-Downloads/main/DRM/562N.pdf</t>
  </si>
  <si>
    <t xml:space="preserve">https://static.wixstatic.com/media/866235_a149c26ce06a4dcfa651138c560a6a6d~mv2.webp</t>
  </si>
  <si>
    <t xml:space="preserve">https://static.wixstatic.com/media/866235_a149c26ce06a4dcfa651138c560a6a6d~mv2.webp; https://static.wixstatic.com/media/866235_8c79f14b1671461bb8e64794a46fb548~mv2.webp</t>
  </si>
  <si>
    <t xml:space="preserve">The Dream Silver / DRM 562N built by Golden West Homes offers 840 square feet of efficiently utilized living space, featuring 2 bedrooms and 1 bathroom. This manufactured home is crafted for those who value both style and simplicity, with an open layout that enhances a sense of spaciousness and private bedrooms that provide a cozy retreat. The DRM 562N is an ideal choice for individuals or couples seeking a modern, compact home that combines comfort and functionality for seamless daily living.</t>
  </si>
  <si>
    <t xml:space="preserve">Dream Silver 363A</t>
  </si>
  <si>
    <t xml:space="preserve">gw-dream-silver-363a</t>
  </si>
  <si>
    <t xml:space="preserve">DRM 363A</t>
  </si>
  <si>
    <t xml:space="preserve">24' WIDE</t>
  </si>
  <si>
    <t xml:space="preserve">No</t>
  </si>
  <si>
    <t xml:space="preserve">bed/bath data may be wrong - verify</t>
  </si>
  <si>
    <t xml:space="preserve">https://raw.githubusercontent.com/CadelMVH/Wix-Gallery-Downloads/main/DRM/363A.pdf</t>
  </si>
  <si>
    <t xml:space="preserve">https://static.wixstatic.com/media/866235_69eafe1a8326447b8e91d7dd6b2d369a~mv2.webp</t>
  </si>
  <si>
    <t xml:space="preserve">https://static.wixstatic.com/media/866235_69eafe1a8326447b8e91d7dd6b2d369a~mv2.webp; https://static.wixstatic.com/media/866235_9ce0f58f0a614007b6cfb3b51f93e4be~mv2.webp</t>
  </si>
  <si>
    <t xml:space="preserve">The Dream Silver / DRM 683F built by Golden West Albany is a beautifully crafted manufactured home offering 3 bedrooms, 2 bathrooms, and 1836 square feet of living space designed for comfort and ease. From its warm layout to its thoughtfully arranged features, this home is perfect for families ready to settle into something special. The DRM 683F delivers everyday functionality with a homestyle charm you’ll feel the moment you walk in.</t>
  </si>
  <si>
    <t xml:space="preserve">Dream Silver 661M</t>
  </si>
  <si>
    <t xml:space="preserve">gw-dream-silver-661m</t>
  </si>
  <si>
    <t xml:space="preserve">DRM 661M</t>
  </si>
  <si>
    <t xml:space="preserve">https://raw.githubusercontent.com/CadelMVH/Wix-Gallery-Downloads/main/DRM/661M.pdf</t>
  </si>
  <si>
    <t xml:space="preserve">https://static.wixstatic.com/media/866235_b685f715d7c346afaf26417c5c170e3d~mv2.webp</t>
  </si>
  <si>
    <t xml:space="preserve">https://static.wixstatic.com/media/866235_b685f715d7c346afaf26417c5c170e3d~mv2.webp; https://static.wixstatic.com/media/866235_2f52c4f341c845e38f25d0f0b63efe47~mv2.webp</t>
  </si>
  <si>
    <t xml:space="preserve">The Dream Silver / DRM 661M built by Golden West Homes offers 891 square feet of well-planned living space, featuring 2 bedrooms and 2 bathrooms. This manufactured home blends comfort and efficiency, with an open layout that enhances everyday functionality and private bedrooms that provide a relaxing retreat. The DRM 661M is an ideal choice for individuals or couples seeking a modern, compact home that combines style with practical living, making it perfect for daily life or as a peaceful getaway.</t>
  </si>
  <si>
    <t xml:space="preserve">Dream Silver 385A</t>
  </si>
  <si>
    <t xml:space="preserve">gw-dream-silver-385a</t>
  </si>
  <si>
    <t xml:space="preserve">DRM 385A</t>
  </si>
  <si>
    <t xml:space="preserve">https://raw.githubusercontent.com/CadelMVH/Wix-Gallery-Downloads/main/DRM/385A.pdf</t>
  </si>
  <si>
    <t xml:space="preserve">https://momento360.com/e/uc/2128a17170fe41f8b3daa22400de4938</t>
  </si>
  <si>
    <t xml:space="preserve">https://static.wixstatic.com/media/866235_dfc262e6bbb543619c63f9b647ba1a75~mv2.webp</t>
  </si>
  <si>
    <t xml:space="preserve">https://static.wixstatic.com/media/866235_dfc262e6bbb543619c63f9b647ba1a75~mv2.webp; https://static.wixstatic.com/media/866235_f8b0d01fbe8645bb8eaefcfbbef53e4b~mv2.webp</t>
  </si>
  <si>
    <t xml:space="preserve">The Dream Silver / DRM 385A built by Golden West Homes provides 900 square feet of intelligently designed living space, featuring 3 bedrooms and 2 bathrooms. This manufactured home balances comfort and efficiency, with an open layout ideal for gatherings and private bedrooms that create a serene retreat. The DRM 385A is an excellent choice for families or individuals seeking a compact, modern home that combines functionality with a cozy ambiance, making it perfect for both everyday living and relaxing downtime.</t>
  </si>
  <si>
    <t xml:space="preserve">Dream Silver 386A</t>
  </si>
  <si>
    <t xml:space="preserve">gw-dream-silver-386a</t>
  </si>
  <si>
    <t xml:space="preserve">DRM 386A</t>
  </si>
  <si>
    <t xml:space="preserve">https://raw.githubusercontent.com/CadelMVH/Wix-Gallery-Downloads/main/DRM/386A.pdf</t>
  </si>
  <si>
    <t xml:space="preserve">https://momento360.com/e/uc/b08b4aaad98e4b1b8b72195780ff60ea</t>
  </si>
  <si>
    <t xml:space="preserve">https://static.wixstatic.com/media/866235_b7f76a018500498982e7f2a372c55cde~mv2.webp</t>
  </si>
  <si>
    <t xml:space="preserve">https://static.wixstatic.com/media/866235_b7f76a018500498982e7f2a372c55cde~mv2.webp; https://static.wixstatic.com/media/866235_243b68aba82943b3a7d39b1e3383dc83~mv2.webp</t>
  </si>
  <si>
    <t xml:space="preserve">The Dream Silver / DRM 386A built by Golden West Homes offers 900 square feet of efficiently arranged living space, featuring 2 bedrooms and 2 bathrooms. This manufactured home is crafted for those who value both comfort and practicality, with an open layout ideal for socializing and private bedrooms that provide a peaceful escape. The DRM 386A is an excellent choice for individuals or couples seeking a modern, compact home that combines functionality with a warm, inviting atmosphere, perfect for everyday living or retreats.</t>
  </si>
  <si>
    <t xml:space="preserve">Dream Silver 603N</t>
  </si>
  <si>
    <t xml:space="preserve">gw-dream-silver-603n</t>
  </si>
  <si>
    <t xml:space="preserve">DRM 603N</t>
  </si>
  <si>
    <t xml:space="preserve">https://raw.githubusercontent.com/CadelMVH/Wix-Gallery-Downloads/main/DRM/603N.pdf</t>
  </si>
  <si>
    <t xml:space="preserve">https://momento360.com/e/uc/8442f5c46b424cae9ee1f4ce2b146044</t>
  </si>
  <si>
    <t xml:space="preserve">https://static.wixstatic.com/media/866235_27250ba3b3ac4027b7a1d3094b6c69be~mv2.webp</t>
  </si>
  <si>
    <t xml:space="preserve">https://static.wixstatic.com/media/866235_27250ba3b3ac4027b7a1d3094b6c69be~mv2.webp; https://static.wixstatic.com/media/866235_6561c9c84e7b4e08bb56fc30728c6218~mv2.webp</t>
  </si>
  <si>
    <t xml:space="preserve">The Dream Silver / DRM 603N built by Golden West Homes offers 900 square feet of well-arranged living space, featuring 2 bedrooms and 2 bathrooms. This manufactured home combines modern design with efficiency, providing open living areas that encourage connection and private bedrooms for a cozy retreat. The DRM 603N is an ideal choice for individuals or couples seeking a home that balances functionality with contemporary style, making it perfect for those who appreciate comfort and smart space planning.</t>
  </si>
  <si>
    <t xml:space="preserve">Dream Silver 482P</t>
  </si>
  <si>
    <t xml:space="preserve">gw-dream-silver-482p</t>
  </si>
  <si>
    <t xml:space="preserve">DRM 482P</t>
  </si>
  <si>
    <t xml:space="preserve">https://raw.githubusercontent.com/CadelMVH/Wix-Gallery-Downloads/main/DRM/482P.pdf</t>
  </si>
  <si>
    <t xml:space="preserve">https://momento360.com/e/uc/1c413e5dd0664397a8dd40590bd8b233</t>
  </si>
  <si>
    <t xml:space="preserve">https://static.wixstatic.com/media/866235_5dd103112ad2456783fbc9d3f61f0621~mv2.webp</t>
  </si>
  <si>
    <t xml:space="preserve">https://static.wixstatic.com/media/866235_5dd103112ad2456783fbc9d3f61f0621~mv2.webp; https://static.wixstatic.com/media/866235_f658359cd0424ff592e889f79c97c3e8~mv2.webp</t>
  </si>
  <si>
    <t xml:space="preserve">The Dream Silver / DRM 482P built by Golden West Homes provides 944 square feet of well-planned living space, featuring 2 bedrooms and 2 bathrooms. This manufactured home combines modern style with functionality, offering an open layout that promotes comfort and private bedrooms that create a relaxing retreat. The DRM 482P is an excellent choice for individuals or couples seeking a home that balances practicality and elegance, making it ideal for daily living or a weekend escape in a welcoming, compact design.</t>
  </si>
  <si>
    <t xml:space="preserve">Dream Silver 661N</t>
  </si>
  <si>
    <t xml:space="preserve">gw-dream-silver-661n</t>
  </si>
  <si>
    <t xml:space="preserve">DRM 661N</t>
  </si>
  <si>
    <t xml:space="preserve">https://raw.githubusercontent.com/CadelMVH/Wix-Gallery-Downloads/main/DRM/661N.pdf</t>
  </si>
  <si>
    <t xml:space="preserve">https://static.wixstatic.com/media/866235_a6425f2216844998bb718f82066184c6~mv2.webp</t>
  </si>
  <si>
    <t xml:space="preserve">https://static.wixstatic.com/media/866235_a6425f2216844998bb718f82066184c6~mv2.webp; https://static.wixstatic.com/media/866235_a6a04ee745b241699e201541bd9d7cc3~mv2.webp</t>
  </si>
  <si>
    <t xml:space="preserve">The Dream Silver / DRM 661N built by Golden West Homes provides 990 square feet of smartly designed living space, featuring 3 bedrooms and 2 bathrooms. This manufactured home offers a functional layout that maximizes each area, with open living spaces for gatherings and private bedrooms that provide a cozy retreat. The DRM 661N is a perfect choice for families or individuals looking for a compact home that combines modern design with practical amenities, creating an inviting atmosphere for comfortable daily living.</t>
  </si>
  <si>
    <t xml:space="preserve">Dream Silver 561P</t>
  </si>
  <si>
    <t xml:space="preserve">gw-dream-silver-561p</t>
  </si>
  <si>
    <t xml:space="preserve">DRM 561P</t>
  </si>
  <si>
    <t xml:space="preserve">https://raw.githubusercontent.com/CadelMVH/Wix-Gallery-Downloads/main/DRM/561P.pdf</t>
  </si>
  <si>
    <t xml:space="preserve">https://static.wixstatic.com/media/866235_466e8cab1f1946009f423e22df7eca62~mv2.webp</t>
  </si>
  <si>
    <t xml:space="preserve">https://static.wixstatic.com/media/866235_466e8cab1f1946009f423e22df7eca62~mv2.webp; https://static.wixstatic.com/media/866235_24957a5f79ee4f36b4d4959473516789~mv2.webp</t>
  </si>
  <si>
    <t xml:space="preserve">The Dream Silver / DRM 561P built by Golden West Albany offers 3 bedrooms, 2 bathrooms, and 1,102 square feet of smartly planned living space. An open main area welcomes gatherings, while private bedrooms give everyone room to breathe. Everyday chores feel easier, evenings feel cozier, and weekends stretch a little longer. Built with Golden West craftsmanship, energy-smart features, and a layout that fits real Midwestern living. The DRM 561P is ready to be loved.</t>
  </si>
  <si>
    <t xml:space="preserve">Dream Silver 482A</t>
  </si>
  <si>
    <t xml:space="preserve">gw-dream-silver-482a</t>
  </si>
  <si>
    <t xml:space="preserve">DRM 482A</t>
  </si>
  <si>
    <t xml:space="preserve">https://raw.githubusercontent.com/CadelMVH/Wix-Gallery-Downloads/main/DRM/482A.pdf</t>
  </si>
  <si>
    <t xml:space="preserve">https://static.wixstatic.com/media/866235_98567c7f28004e72962866f2939b2308~mv2.webp</t>
  </si>
  <si>
    <t xml:space="preserve">https://static.wixstatic.com/media/866235_98567c7f28004e72962866f2939b2308~mv2.webp; https://static.wixstatic.com/media/866235_abccb74bd3f54a1d9d44d2a5d7832158~mv2.webp</t>
  </si>
  <si>
    <t xml:space="preserve">The Dream Silver / DRM 482A built by Golden West Homes delivers 1,152 square feet of thoughtfully arranged living space, featuring 2 bedrooms and 2 bathrooms. This manufactured home is crafted for those who enjoy a blend of style and ease, with open areas that create a sense of spaciousness and private bedrooms offering a serene retreat. The DRM 482A is an excellent choice for individuals or couples looking for a contemporary design that fosters a cozy yet refined environment for comfortable living.</t>
  </si>
  <si>
    <t xml:space="preserve">Dream Silver 502A</t>
  </si>
  <si>
    <t xml:space="preserve">gw-dream-silver-502a</t>
  </si>
  <si>
    <t xml:space="preserve">DRM 502A</t>
  </si>
  <si>
    <t xml:space="preserve">https://raw.githubusercontent.com/CadelMVH/Wix-Gallery-Downloads/main/DRM/502A.pdf</t>
  </si>
  <si>
    <t xml:space="preserve">https://static.wixstatic.com/media/866235_144f064e62e74133bbdd7816d9780446~mv2.webp</t>
  </si>
  <si>
    <t xml:space="preserve">https://static.wixstatic.com/media/866235_144f064e62e74133bbdd7816d9780446~mv2.webp; https://static.wixstatic.com/media/866235_d53c673821f54949a6cf7643a5c48891~mv2.webp</t>
  </si>
  <si>
    <t xml:space="preserve">The Dream Silver / DRM 502A built by Golden West Homes offers 1,176 square feet of refined living space, featuring 2 bedrooms and 2 bathrooms. This manufactured home combines function with elegance, showcasing open living areas that invite connection and private bedrooms that provide a restful escape. The DRM 502A is a superb choice for those seeking a contemporary home that enhances daily living with an effortless blend of comfort and modern design, making it ideal for either cozy getaways or extended stays.</t>
  </si>
  <si>
    <t xml:space="preserve">Dream Silver 443F</t>
  </si>
  <si>
    <t xml:space="preserve">gw-dream-silver-443f</t>
  </si>
  <si>
    <t xml:space="preserve">DRM 443F</t>
  </si>
  <si>
    <t xml:space="preserve">27' WIDE</t>
  </si>
  <si>
    <t xml:space="preserve">https://raw.githubusercontent.com/CadelMVH/Wix-Gallery-Downloads/main/DRM/443F.pdf</t>
  </si>
  <si>
    <t xml:space="preserve">https://momento360.com/e/uc/dcf2cb5b5927410db6ecea9d8b2daa2a</t>
  </si>
  <si>
    <t xml:space="preserve">https://static.wixstatic.com/media/866235_1329ef1ffdc743a3814cd4bcc5de1b53~mv2.webp</t>
  </si>
  <si>
    <t xml:space="preserve">https://static.wixstatic.com/media/866235_1329ef1ffdc743a3814cd4bcc5de1b53~mv2.webp; https://static.wixstatic.com/media/866235_4cb38bd03c2140be9268b4a835efe88c~mv2.webp</t>
  </si>
  <si>
    <t xml:space="preserve">The Dream Silver / DRM 443F built by Golden West Homes offers 1,188 square feet of thoughtfully crafted living space, featuring 3 bedrooms and 2 bathrooms. This manufactured home is designed for both functionality and comfort, with open areas that promote togetherness and private bedrooms that offer a cozy retreat. The DRM 443F is an ideal choice for families or individuals seeking a home that balances modern style with everyday convenience, making it perfect for those who value both practicality and comfort.</t>
  </si>
  <si>
    <t xml:space="preserve">Dream Silver 444F</t>
  </si>
  <si>
    <t xml:space="preserve">gw-dream-silver-444f</t>
  </si>
  <si>
    <t xml:space="preserve">DRM 444F</t>
  </si>
  <si>
    <t xml:space="preserve">https://raw.githubusercontent.com/CadelMVH/Wix-Gallery-Downloads/main/DRM/444F.pdf</t>
  </si>
  <si>
    <t xml:space="preserve">https://momento360.com/e/uc/f865f382a1a44c43b7c6dd002a2ed81d</t>
  </si>
  <si>
    <t xml:space="preserve">https://static.wixstatic.com/media/866235_597e4439424e4553abfcc3d934e1e9e4~mv2.webp</t>
  </si>
  <si>
    <t xml:space="preserve">https://static.wixstatic.com/media/866235_597e4439424e4553abfcc3d934e1e9e4~mv2.webp; https://static.wixstatic.com/media/866235_9c107852d38041fc9031382821c35a01~mv2.webp</t>
  </si>
  <si>
    <t xml:space="preserve">The Dream Silver / DRM 444F built by Golden West Homes offers 1,188 square feet of well-designed living space, featuring 2 bedrooms and 2 bathrooms. This manufactured home combines efficiency with comfort, providing open living areas that enhance everyday ease and private bedrooms that create a peaceful retreat. The DRM 444F is an excellent choice for those seeking a home that balances style and functionality, making it ideal for couples or individuals looking for modern convenience with a cozy feel.</t>
  </si>
  <si>
    <t xml:space="preserve">Dream Silver 481F</t>
  </si>
  <si>
    <t xml:space="preserve">gw-dream-silver-481f</t>
  </si>
  <si>
    <t xml:space="preserve">DRM 481F</t>
  </si>
  <si>
    <t xml:space="preserve">https://raw.githubusercontent.com/CadelMVH/Wix-Gallery-Downloads/main/DRM/481F.pdf</t>
  </si>
  <si>
    <t xml:space="preserve">https://momento360.com/e/uc/91287de309b44319b0bac9b8bcad160b</t>
  </si>
  <si>
    <t xml:space="preserve">https://static.wixstatic.com/media/866235_f385a22079664842a10eef63ef9ccb26~mv2.webp</t>
  </si>
  <si>
    <t xml:space="preserve">https://static.wixstatic.com/media/866235_f385a22079664842a10eef63ef9ccb26~mv2.webp; https://static.wixstatic.com/media/866235_d6e97c4202874a63a3b0847f730de216~mv2.webp</t>
  </si>
  <si>
    <t xml:space="preserve">The Dream Silver / DRM 481F built by Golden West Homes provides 1,296 square feet of thoughtfully arranged living space, featuring 3 bedrooms and 2 bathrooms. This manufactured home is designed to enhance both comfort and functionality, with open areas perfect for gatherings and private bedrooms that offer a restful retreat. The DRM 481F is an excellent choice for families or individuals seeking a home that blends modern design with practical features, creating a welcoming environment for daily living.</t>
  </si>
  <si>
    <t xml:space="preserve">Dream Silver 482F</t>
  </si>
  <si>
    <t xml:space="preserve">gw-dream-silver-482f</t>
  </si>
  <si>
    <t xml:space="preserve">DRM 482F</t>
  </si>
  <si>
    <t xml:space="preserve">https://raw.githubusercontent.com/CadelMVH/Wix-Gallery-Downloads/main/DRM/482F.pdf</t>
  </si>
  <si>
    <t xml:space="preserve">https://momento360.com/e/uc/2e2d721215c24680b460d2971ffe136b</t>
  </si>
  <si>
    <t xml:space="preserve">https://my.matterport.com/show/?play=1&amp;m=EosaVzfgrms</t>
  </si>
  <si>
    <t xml:space="preserve">https://static.wixstatic.com/media/866235_c8fa507510714c96b93c9a7d4974b211~mv2.png</t>
  </si>
  <si>
    <t xml:space="preserve">https://static.wixstatic.com/media/866235_c8fa507510714c96b93c9a7d4974b211~mv2.png; https://static.wixstatic.com/media/866235_36dab4a7a84e42419166e96f7ae8db55~mv2.webp; https://static.wixstatic.com/media/866235_c9c89019d9074e9eb5032bbe11c46383~mv2.jpg; https://static.wixstatic.com/media/866235_f6cd9033724e4b5296134201780b07b1~mv2.jpg; https://static.wixstatic.com/media/866235_6b5ae15ea63248158a48d17132edcedb~mv2.jpg; https://static.wixstatic.com/media/866235_8a5587fffcf2438f80250e9cdfe9e554~mv2.jpg; https://static.wixstatic.com/media/866235_c1d1c9feee674a529eae5f9c06e458be~mv2.jpg; https://static.wixstatic.com/media/866235_f2a9b16da37e4dd19bbe7b2d2a82d41e~mv2.jpg; https://static.wixstatic.com/media/866235_244554b963b44b02ad43f5598d9332b2~mv2.jpg</t>
  </si>
  <si>
    <t xml:space="preserve">The Dream Silver / DRM 482F built by Golden West Homes provides 1,296 square feet of carefully designed living space, featuring 3 bedrooms and 2 bathrooms. This manufactured home balances comfort with efficiency, offering open living areas ideal for family gatherings and private bedrooms that create a restful retreat. The DRM 482F is an excellent choice for individuals or families looking for a modern, functional home that combines practicality with a warm, welcoming atmosphere, supporting everyday living.</t>
  </si>
  <si>
    <t xml:space="preserve">Dream Silver 483F</t>
  </si>
  <si>
    <t xml:space="preserve">gw-dream-silver-483f</t>
  </si>
  <si>
    <t xml:space="preserve">DRM 483F</t>
  </si>
  <si>
    <t xml:space="preserve">https://raw.githubusercontent.com/CadelMVH/Wix-Gallery-Downloads/main/DRM/483F.pdf</t>
  </si>
  <si>
    <t xml:space="preserve">https://momento360.com/e/uc/6db23a925a50418495b52cd4d89c0d49</t>
  </si>
  <si>
    <t xml:space="preserve">https://static.wixstatic.com/media/866235_a022aa501eb34ae5a806fcb5b6f4a318~mv2.webp</t>
  </si>
  <si>
    <t xml:space="preserve">https://static.wixstatic.com/media/866235_a022aa501eb34ae5a806fcb5b6f4a318~mv2.webp; https://static.wixstatic.com/media/866235_741e71f3b9f7496f88255727cef27d1d~mv2.webp</t>
  </si>
  <si>
    <t xml:space="preserve">The Dream Silver / DRM 483F built by Golden West Homes offers 1,296 square feet of well-planned living space, featuring 3 bedrooms and 2 bathrooms. This manufactured home is crafted for those who appreciate functionality and comfort, with open living areas that foster togetherness and private bedrooms that provide a serene escape. The DRM 483F is an excellent choice for families or individuals seeking a contemporary home that balances style and practicality, making everyday life both comfortable and enjoyable.</t>
  </si>
  <si>
    <t xml:space="preserve">Dream Silver 484F</t>
  </si>
  <si>
    <t xml:space="preserve">gw-dream-silver-484f</t>
  </si>
  <si>
    <t xml:space="preserve">DRM 484F</t>
  </si>
  <si>
    <t xml:space="preserve">https://raw.githubusercontent.com/CadelMVH/Wix-Gallery-Downloads/main/DRM/484F.pdf</t>
  </si>
  <si>
    <t xml:space="preserve">https://momento360.com/e/uc/7b5a0f38c0594437add076317ffd389c</t>
  </si>
  <si>
    <t xml:space="preserve">https://static.wixstatic.com/media/866235_62cac18684d94ffca229f7d3d4e5483d~mv2.webp</t>
  </si>
  <si>
    <t xml:space="preserve">https://static.wixstatic.com/media/866235_62cac18684d94ffca229f7d3d4e5483d~mv2.webp; https://static.wixstatic.com/media/866235_244f9391e0b0432595c55c12b3cdea40~mv2.webp</t>
  </si>
  <si>
    <t xml:space="preserve">The Dream Silver / DRM 484F built by Golden West Albany offers 4 bedrooms, 2 bathrooms, and 1296 square feet of thoughtfully arranged living space. From the inviting main living area to the generously sized bedrooms, this home brings comfort and practicality together in one cozy package. Perfect for families looking to settle into a welcoming space, The DRM 484F is a home that feels just right from the moment you walk through the door.</t>
  </si>
  <si>
    <t xml:space="preserve">Dream Silver 486F</t>
  </si>
  <si>
    <t xml:space="preserve">gw-dream-silver-486f</t>
  </si>
  <si>
    <t xml:space="preserve">DRM 486F</t>
  </si>
  <si>
    <t xml:space="preserve">https://raw.githubusercontent.com/CadelMVH/Wix-Gallery-Downloads/main/DRM/486F.pdf</t>
  </si>
  <si>
    <t xml:space="preserve">https://momento360.com/e/uc/4fbe3373569f4c368e32657c702ffd8e</t>
  </si>
  <si>
    <t xml:space="preserve">https://static.wixstatic.com/media/866235_142468fc12ad416ab8647bcd1536443b~mv2.webp</t>
  </si>
  <si>
    <t xml:space="preserve">https://static.wixstatic.com/media/866235_142468fc12ad416ab8647bcd1536443b~mv2.webp; https://static.wixstatic.com/media/866235_2ad9b38cb83f4e75b655273fbd54b722~mv2.webp</t>
  </si>
  <si>
    <t xml:space="preserve">The Dream Silver / DRM 486F built by Golden West Homes provides 1,296 square feet of efficiently designed living space, featuring 4 bedrooms and 2 bathrooms. This manufactured home blends comfort with practicality, offering open areas perfect for family gatherings and private bedrooms that ensure a cozy retreat. The DRM 486F is an excellent choice for families or individuals looking for a modern, compact home that balances functionality with a warm and inviting atmosphere for everyday living.</t>
  </si>
  <si>
    <t xml:space="preserve">Dream Silver 521F</t>
  </si>
  <si>
    <t xml:space="preserve">gw-dream-silver-521f</t>
  </si>
  <si>
    <t xml:space="preserve">DRM 521F</t>
  </si>
  <si>
    <t xml:space="preserve">https://raw.githubusercontent.com/CadelMVH/Wix-Gallery-Downloads/main/DRM/521F.pdf</t>
  </si>
  <si>
    <t xml:space="preserve">https://static.wixstatic.com/media/866235_777318ed436a4db5bbe191ddfa5165d1~mv2.webp</t>
  </si>
  <si>
    <t xml:space="preserve">https://static.wixstatic.com/media/866235_777318ed436a4db5bbe191ddfa5165d1~mv2.webp; https://static.wixstatic.com/media/866235_58d70bd4783e4258ba58e568b63bad9a~mv2.webp</t>
  </si>
  <si>
    <t xml:space="preserve">The Dream Silver / DRM 521F built by Golden West Homes provides 1,404 square feet of carefully arranged living space, featuring 3 bedrooms and 2 bathrooms. This manufactured home is designed to support both relaxation and activity, with spacious living areas ideal for gatherings and private bedrooms that offer a peaceful escape. The DRM 521F is a perfect choice for families or individuals seeking a modern home that balances functionality with an inviting ambiance, ideal for a comfortable and enjoyable lifestyle.</t>
  </si>
  <si>
    <t xml:space="preserve">Dream Silver 561F</t>
  </si>
  <si>
    <t xml:space="preserve">gw-dream-silver-561f</t>
  </si>
  <si>
    <t xml:space="preserve">DRM 561F</t>
  </si>
  <si>
    <t xml:space="preserve">https://raw.githubusercontent.com/CadelMVH/Wix-Gallery-Downloads/main/DRM/561F.pdf</t>
  </si>
  <si>
    <t xml:space="preserve">https://static.wixstatic.com/media/866235_f1a68ecd303b48c4bf1f079895b224a3~mv2.webp</t>
  </si>
  <si>
    <t xml:space="preserve">https://static.wixstatic.com/media/866235_f1a68ecd303b48c4bf1f079895b224a3~mv2.webp; https://static.wixstatic.com/media/866235_033ee343f89e4704989049ddb1883252~mv2.webp</t>
  </si>
  <si>
    <t xml:space="preserve">The Dream Silver / DRM 561F built by Golden West Homes offers 1,512 square feet of thoughtfully designed living space, featuring 3 bedrooms and 2 bathrooms. This manufactured home provides a versatile layout with spacious living areas for family gatherings and private bedrooms that ensure a peaceful retreat. The DRM 561F is an ideal choice for families or individuals seeking a home that combines contemporary style with practical features, creating a comfortable and inviting atmosphere for daily living.</t>
  </si>
  <si>
    <t xml:space="preserve">Dream Silver 562F</t>
  </si>
  <si>
    <t xml:space="preserve">gw-dream-silver-562f</t>
  </si>
  <si>
    <t xml:space="preserve">DRM 562F</t>
  </si>
  <si>
    <t xml:space="preserve">https://raw.githubusercontent.com/CadelMVH/Wix-Gallery-Downloads/main/DRM/562F.pdf</t>
  </si>
  <si>
    <t xml:space="preserve">https://momento360.com/e/uc/f1b9100b5bf84d4881a5254f765bb1de</t>
  </si>
  <si>
    <t xml:space="preserve">https://static.wixstatic.com/media/866235_ac473eb227fa4aab8e6d57ce5cd325b5~mv2.webp</t>
  </si>
  <si>
    <t xml:space="preserve">https://static.wixstatic.com/media/866235_ac473eb227fa4aab8e6d57ce5cd325b5~mv2.webp; https://static.wixstatic.com/media/866235_d5323c9591c94a80a339b7437a193b39~mv2.webp</t>
  </si>
  <si>
    <t xml:space="preserve">The Dream Silver / DRM 562F built by Golden West Homes offers 1,512 square feet of carefully crafted living space, featuring 3 bedrooms and 2 bathrooms. This manufactured home is designed for those who value both style and comfort, with open living areas perfect for entertaining and private bedrooms that provide a peaceful retreat. The DRM 562F is an ideal choice for families or individuals seeking a modern home that combines functionality with a warm, inviting atmosphere for everyday living.</t>
  </si>
  <si>
    <t xml:space="preserve">Dream Silver 563F</t>
  </si>
  <si>
    <t xml:space="preserve">gw-dream-silver-563f</t>
  </si>
  <si>
    <t xml:space="preserve">DRM 563F</t>
  </si>
  <si>
    <t xml:space="preserve">https://raw.githubusercontent.com/CadelMVH/Wix-Gallery-Downloads/main/DRM/563F.pdf</t>
  </si>
  <si>
    <t xml:space="preserve">https://momento360.com/e/uc/1d19c6ab0e5b4fb3b07374568da44d16</t>
  </si>
  <si>
    <t xml:space="preserve">https://static.wixstatic.com/media/866235_8325f44c437145db995d45b7887fbe03~mv2.webp</t>
  </si>
  <si>
    <t xml:space="preserve">https://static.wixstatic.com/media/866235_8325f44c437145db995d45b7887fbe03~mv2.webp; https://static.wixstatic.com/media/866235_fc4b045b92d3468cb4fdd173fe16b682~mv2.webp</t>
  </si>
  <si>
    <t xml:space="preserve">The Dream Silver / DRM 563F built by Golden West Homes offers 1,512 square feet of thoughtfully arranged living space, featuring 3 bedrooms and 2 bathrooms. This manufactured home is designed to bring comfort and style together, with open living areas perfect for family gatherings and private bedrooms that create a cozy retreat. The DRM 563F is a fantastic choice for families or individuals seeking a modern, functional home that combines practicality with a warm, welcoming atmosphere for daily living.</t>
  </si>
  <si>
    <t xml:space="preserve">Dream Silver 564F</t>
  </si>
  <si>
    <t xml:space="preserve">gw-dream-silver-564f</t>
  </si>
  <si>
    <t xml:space="preserve">DRM 564F</t>
  </si>
  <si>
    <t xml:space="preserve">https://raw.githubusercontent.com/CadelMVH/Wix-Gallery-Downloads/main/DRM/564F.pdf</t>
  </si>
  <si>
    <t xml:space="preserve">https://static.wixstatic.com/media/866235_28e4fadacaf042a189ad58b62d2180c5~mv2.webp</t>
  </si>
  <si>
    <t xml:space="preserve">https://static.wixstatic.com/media/866235_28e4fadacaf042a189ad58b62d2180c5~mv2.webp; https://static.wixstatic.com/media/866235_35f61fc3b1d949ef89bf0d80e60292d6~mv2.webp</t>
  </si>
  <si>
    <t xml:space="preserve">The Dream Silver / DRM 564F built by Golden West Albany offers a cozy yet roomy retreat with 3 bedrooms, 2 bathrooms, and 1512 square feet of living space designed with everyday comfort in mind. Whether you’re gathering with loved ones or enjoying quiet moments, the layout supports both connection and relaxation. The DRM 564F brings together functionality and charm, making it a wonderful choice for anyone looking to enjoy the comforts of a welcoming home.</t>
  </si>
  <si>
    <t xml:space="preserve">Dream Silver 601F</t>
  </si>
  <si>
    <t xml:space="preserve">gw-dream-silver-601f</t>
  </si>
  <si>
    <t xml:space="preserve">DRM 601F</t>
  </si>
  <si>
    <t xml:space="preserve">https://raw.githubusercontent.com/CadelMVH/Wix-Gallery-Downloads/main/DRM/601F.pdf</t>
  </si>
  <si>
    <t xml:space="preserve">https://momento360.com/e/uc/776afbbba42b43bab9807701223322bb</t>
  </si>
  <si>
    <t xml:space="preserve">https://static.wixstatic.com/media/866235_6c1735df48f248c5bd1a8d714a872e4e~mv2.webp</t>
  </si>
  <si>
    <t xml:space="preserve">https://static.wixstatic.com/media/866235_6c1735df48f248c5bd1a8d714a872e4e~mv2.webp; https://static.wixstatic.com/media/866235_064b0a8dad924ea58cc3b677e24f7465~mv2.webp</t>
  </si>
  <si>
    <t xml:space="preserve">The Dream Silver / DRM 601F built by Golden West Homes offers a spacious 1,620 square feet of living space, featuring 4 bedrooms and 2 bathrooms. This manufactured home is designed to cater to family needs, with an inviting open layout perfect for gathering and private bedrooms that offer a peaceful escape. The DRM 601F is a fantastic choice for those seeking a home that blends modern style with practicality, providing ample space and comfort for everyday living or entertaining in a relaxed atmosphere.</t>
  </si>
  <si>
    <t xml:space="preserve">Dream Silver 682F</t>
  </si>
  <si>
    <t xml:space="preserve">gw-dream-silver-682f</t>
  </si>
  <si>
    <t xml:space="preserve">DRM 682F</t>
  </si>
  <si>
    <t xml:space="preserve">https://raw.githubusercontent.com/CadelMVH/Wix-Gallery-Downloads/main/DRM/682F.pdf</t>
  </si>
  <si>
    <t xml:space="preserve">https://static.wixstatic.com/media/866235_796bc816b5d148928d8e273cbd4fe7d5~mv2.webp</t>
  </si>
  <si>
    <t xml:space="preserve">https://static.wixstatic.com/media/866235_796bc816b5d148928d8e273cbd4fe7d5~mv2.webp; https://static.wixstatic.com/media/866235_60515e1535b24366b8cc2434bec1aa0e~mv2.webp</t>
  </si>
  <si>
    <t xml:space="preserve">The Dream Silver / DRM 682F built by Golden West Homes provides a generous 1,836 square feet of living space, including 4 bedrooms and 2 bathrooms. This manufactured home is thoughtfully designed to meet the needs of a busy household, featuring open common areas that encourage gathering and secluded bedrooms that offer a peaceful retreat. The DRM 682F is ideal for families or individuals seeking a spacious, modern home that effortlessly combines functionality with a warm, inviting atmosphere.</t>
  </si>
  <si>
    <t xml:space="preserve">Dream Silver 683F</t>
  </si>
  <si>
    <t xml:space="preserve">gw-dream-silver-683f</t>
  </si>
  <si>
    <t xml:space="preserve">DRM 683F</t>
  </si>
  <si>
    <t xml:space="preserve">https://raw.githubusercontent.com/CadelMVH/Wix-Gallery-Downloads/main/DRM/683F.pdf</t>
  </si>
  <si>
    <t xml:space="preserve">https://momento360.com/e/uc/4051bc8454b04151bc560f40fe55ebd5</t>
  </si>
  <si>
    <t xml:space="preserve">https://my.matterport.com/show/?m=MdLCFmoRemw</t>
  </si>
  <si>
    <t xml:space="preserve">https://static.wixstatic.com/media/866235_9c22a8cd4b4f435d8e5e907aacf10808~mv2.webp</t>
  </si>
  <si>
    <t xml:space="preserve">https://static.wixstatic.com/media/866235_9c22a8cd4b4f435d8e5e907aacf10808~mv2.webp; https://static.wixstatic.com/media/866235_1efc332b3edc4966b96a9d76993235b3~mv2.jpg; https://static.wixstatic.com/media/866235_ff2e7313a2c4404c972651774baba84e~mv2.jpg; https://static.wixstatic.com/media/866235_dd01d824f2c34a14b243ab7c9a008165~mv2.jpg; https://static.wixstatic.com/media/866235_cc201bc82886480297d403406b5fe3fc~mv2.jpg; https://static.wixstatic.com/media/866235_952c1d4bb6504a89adfe32c5e19aff1e~mv2.jpg; https://static.wixstatic.com/media/866235_3280c937142248c6aadab8fc73b22752~mv2.jpg; https://static.wixstatic.com/media/866235_7108ec77bb29403bbbc445f68cec424d~mv2.jpg; https://static.wixstatic.com/media/866235_e46a77cabbd94aaca19fa8b1fd043347~mv2.jpg; https://static.wixstatic.com/media/866235_4a326c3c50f4443d843214b9577923b8~mv2.jpg</t>
  </si>
  <si>
    <t xml:space="preserve">Dream Silver 711F</t>
  </si>
  <si>
    <t xml:space="preserve">gw-dream-silver-711f</t>
  </si>
  <si>
    <t xml:space="preserve">DRM 711F</t>
  </si>
  <si>
    <t xml:space="preserve">https://raw.githubusercontent.com/CadelMVH/Wix-Gallery-Downloads/main/DRM/711F.pdf</t>
  </si>
  <si>
    <t xml:space="preserve">https://momento360.com/e/uc/59124193dace45e286cc44cf8d6e4b81</t>
  </si>
  <si>
    <t xml:space="preserve">https://static.wixstatic.com/media/866235_ce4ba76624074876acf84141ded0be17~mv2.webp</t>
  </si>
  <si>
    <t xml:space="preserve">https://static.wixstatic.com/media/866235_ce4ba76624074876acf84141ded0be17~mv2.webp; https://static.wixstatic.com/media/866235_7d4ea02c6afc4fccb301408481b8f1d0~mv2.webp</t>
  </si>
  <si>
    <t xml:space="preserve">The Dream Silver / DRM 711F built by Golden West Homes offers a spacious 1,917 square feet of living space, featuring 3 bedrooms and 2 bathrooms. This manufactured home is crafted for those who value both style and comfort, with expansive open areas ideal for family gatherings and private bedrooms that offer a peaceful retreat. The DRM 711F is a fantastic choice for families or individuals seeking a modern home that combines ample space with contemporary design, providing a welcoming setting for daily living and entertaining.</t>
  </si>
  <si>
    <t xml:space="preserve">Myrtle (ING 362A)</t>
  </si>
  <si>
    <t xml:space="preserve">gw-inspiration-gold-362a</t>
  </si>
  <si>
    <t xml:space="preserve">Inspiration Gold</t>
  </si>
  <si>
    <t xml:space="preserve">ING 362A</t>
  </si>
  <si>
    <t xml:space="preserve">Myrtle</t>
  </si>
  <si>
    <t xml:space="preserve">https://raw.githubusercontent.com/CadelMVH/Wix-Gallery-Downloads/main/ING/ING362A.pdf</t>
  </si>
  <si>
    <t xml:space="preserve">https://my.matterport.com/show/?play=1&amp;m=MgaR4onYsZB</t>
  </si>
  <si>
    <t xml:space="preserve">https://static.wixstatic.com/media/866235_26af0973f8144873b8d72814e2a4b104~mv2.webp</t>
  </si>
  <si>
    <t xml:space="preserve">https://static.wixstatic.com/media/866235_26af0973f8144873b8d72814e2a4b104~mv2.webp; https://static.wixstatic.com/media/866235_7442007ed1c9424c9ec1f187420fe66a~mv2.jpg</t>
  </si>
  <si>
    <t xml:space="preserve">The Inspiration Gold Series / Myrtle ING 362A built by Golden West Homes offers 852 square feet of efficiently designed living space, featuring 2 bedrooms and 1 bathroom. This manufactured home combines comfort with functionality, presenting an open living area perfect for daily relaxation and private bedrooms that create a cozy retreat. The Myrtle ING 362A is an ideal choice for individuals or couples seeking a compact, modern home that maximizes space while providing a warm, inviting atmosphere for everyday living.</t>
  </si>
  <si>
    <t xml:space="preserve">Note: 2x6 Floor Joists-16”O.C.; 3/12 Nominal Pitch(4: 12 pitch single wides)</t>
  </si>
  <si>
    <t xml:space="preserve">Note: LP Smart Panel Sidingw/5/50 year warranty</t>
  </si>
  <si>
    <t xml:space="preserve">Note: Tape and Texture Drywall Throughout</t>
  </si>
  <si>
    <t xml:space="preserve">Note: All Electric Appliances</t>
  </si>
  <si>
    <t xml:space="preserve">Note: SAMSUNG Stainless Steel 18 c/f Refer w/icemaker</t>
  </si>
  <si>
    <t xml:space="preserve">Dogwood (ING 361F)</t>
  </si>
  <si>
    <t xml:space="preserve">gw-inspiration-gold-361f</t>
  </si>
  <si>
    <t xml:space="preserve">ING 361F</t>
  </si>
  <si>
    <t xml:space="preserve">Dogwood</t>
  </si>
  <si>
    <t xml:space="preserve">https://raw.githubusercontent.com/CadelMVH/Wix-Gallery-Downloads/main/ING/ING361F.pdf</t>
  </si>
  <si>
    <t xml:space="preserve">https://my.matterport.com/show/?play=1&amp;m=Mac4ayKuY7Q</t>
  </si>
  <si>
    <t xml:space="preserve">https://static.wixstatic.com/media/866235_eb597facee6a48f391fcee3004f470f9~mv2.webp</t>
  </si>
  <si>
    <t xml:space="preserve">https://static.wixstatic.com/media/866235_eb597facee6a48f391fcee3004f470f9~mv2.webp; https://static.wixstatic.com/media/866235_f8e0baea230641a995307c72eff0f3b0~mv2.webp; https://static.wixstatic.com/media/866235_ddd5a94c0ea94ed3b999eb2c4941eb46~mv2.jpg</t>
  </si>
  <si>
    <t xml:space="preserve">The Inspiration Gold Series / ING361F Dogwood built by Golden West Homes offers 958 square feet of efficiently designed living space, featuring 2 bedrooms and 2 bathrooms. This manufactured home combines style with functionality, with an open layout ideal for daily living and private bedrooms that provide a cozy retreat. The ING361F Dogwood is a perfect choice for individuals or couples seeking a compact, modern home that blends comfort and practicality, making it an excellent option for both short and extended stays.</t>
  </si>
  <si>
    <t xml:space="preserve">Redwood II (ING 382F)</t>
  </si>
  <si>
    <t xml:space="preserve">gw-inspiration-gold-382f</t>
  </si>
  <si>
    <t xml:space="preserve">ING 382F</t>
  </si>
  <si>
    <t xml:space="preserve">Redwood II</t>
  </si>
  <si>
    <t xml:space="preserve">https://raw.githubusercontent.com/CadelMVH/Wix-Gallery-Downloads/main/ING/ING382F.pdf</t>
  </si>
  <si>
    <t xml:space="preserve">https://momento360.com/e/uc/186e9d7256774b0cb5ad43f364069f11</t>
  </si>
  <si>
    <t xml:space="preserve">https://my.matterport.com/show/?play=1&amp;m=fKycYYa7n6n</t>
  </si>
  <si>
    <t xml:space="preserve">https://static.wixstatic.com/media/866235_b9b96ad7179e4b3db4d34fc637c234ff~mv2.webp</t>
  </si>
  <si>
    <t xml:space="preserve">https://static.wixstatic.com/media/866235_b9b96ad7179e4b3db4d34fc637c234ff~mv2.webp; https://static.wixstatic.com/media/866235_ccccf9834dca451bb699228810be1cd2~mv2.webp; https://static.wixstatic.com/media/866235_5e38ac5a897a4d5dba6b2d0797d3e580~mv2.jpg</t>
  </si>
  <si>
    <t xml:space="preserve">The Inspiration Gold Series / Redwood II ING 382F built by Golden West Homes provides 1,026 square feet of well-planned living space, featuring 2 bedrooms and 2 bathrooms. This manufactured home is crafted for those who appreciate efficiency and style, with an open layout that encourages socializing and private bedrooms that provide comfort and relaxation. The Redwood II ING 382F is an excellent choice for individuals or couples seeking a modern, compact home that perfectly balances functionality and warmth.</t>
  </si>
  <si>
    <t xml:space="preserve">Blue Spruce (ING 485F)</t>
  </si>
  <si>
    <t xml:space="preserve">gw-inspiration-gold-485f</t>
  </si>
  <si>
    <t xml:space="preserve">ING 485F</t>
  </si>
  <si>
    <t xml:space="preserve">Blue Spruce</t>
  </si>
  <si>
    <t xml:space="preserve">https://raw.githubusercontent.com/CadelMVH/Wix-Gallery-Downloads/main/ING/ING485F.pdf</t>
  </si>
  <si>
    <t xml:space="preserve">https://static.wixstatic.com/media/866235_a2b86a852f584a5393f9ebd68a895675~mv2.webp</t>
  </si>
  <si>
    <t xml:space="preserve">https://static.wixstatic.com/media/866235_a2b86a852f584a5393f9ebd68a895675~mv2.webp; https://static.wixstatic.com/media/866235_2f7f4a5bbb634de190d408be2b86be6a~mv2.jpg</t>
  </si>
  <si>
    <t xml:space="preserve">The Inspiration Gold Series / The Blue Spruce ING 485F built by Golden West Albany features 2 bedrooms, 2 bathrooms, and 1,251 square feet of well-planned living space. With its welcoming layout, spacious feel, and comfortable design, this manufactured home blends style with functionality. Whether you’re downsizing or just starting out, The Blue Spruce ING 485F provides a warm, inviting environment perfect for everyday living.</t>
  </si>
  <si>
    <t xml:space="preserve">Manzanita (ING 486F)</t>
  </si>
  <si>
    <t xml:space="preserve">gw-inspiration-gold-486f</t>
  </si>
  <si>
    <t xml:space="preserve">ING 486F</t>
  </si>
  <si>
    <t xml:space="preserve">Manzanita</t>
  </si>
  <si>
    <t xml:space="preserve">https://raw.githubusercontent.com/CadelMVH/Wix-Gallery-Downloads/main/ING/ING486F.pdf</t>
  </si>
  <si>
    <t xml:space="preserve">https://my.matterport.com/show?play=1&amp;lang=en-US&amp;m=DaQBmJEBKY6</t>
  </si>
  <si>
    <t xml:space="preserve">https://static.wixstatic.com/media/866235_8bc2f52d39e54203826ffefbe2df2c11~mv2.webp</t>
  </si>
  <si>
    <t xml:space="preserve">https://static.wixstatic.com/media/866235_8bc2f52d39e54203826ffefbe2df2c11~mv2.webp; https://static.wixstatic.com/media/866235_bd8bdc59b2e34bf7a3eb8a1eb4d8a376~mv2.webp; https://static.wixstatic.com/media/866235_8f4bc777a91e45e5b0c23df715b2de44~mv2.jpg</t>
  </si>
  <si>
    <t xml:space="preserve">The Inspiration Gold Series / Manzanita ING 486F built by Golden West Albany offers 2 bedrooms, 2 bathrooms, and 1,296 square feet of thoughtfully arranged living space. The layout highlights a welcoming flow with plenty of room to relax, entertain, or unwind in comfort. Ideal for those seeking a balance of charm and practicality, The Manzanita ING 486F delivers a cozy yet spacious manufactured home experience that fits a variety of lifestyles.</t>
  </si>
  <si>
    <t xml:space="preserve">Black Walnut (ING 525F)</t>
  </si>
  <si>
    <t xml:space="preserve">gw-inspiration-gold-525f</t>
  </si>
  <si>
    <t xml:space="preserve">ING 525F</t>
  </si>
  <si>
    <t xml:space="preserve">Black Walnut</t>
  </si>
  <si>
    <t xml:space="preserve">https://raw.githubusercontent.com/CadelMVH/Wix-Gallery-Downloads/main/ING/ING525F.pdf</t>
  </si>
  <si>
    <t xml:space="preserve">https://static.wixstatic.com/media/866235_54e0b0ed7c6c445a83552450ce093266~mv2.webp</t>
  </si>
  <si>
    <t xml:space="preserve">The Inspiration Gold Series / The Black Walnut ING 525F built by Golden West Albany pairs sunny style with an easy, open layout for everyday life. With 1,377 square feet, you get 2 bedrooms and 2 bathrooms, a bright living area that flows to dining, and a practical kitchen for simple meals. The Black Walnut ING 525F adds a calm primary suite, a flexible second room, and tidy storage. Tour today, feel the comfort, and picture your next chapter here—then make it yours. Easy-care finishes keep upkeep light and days smooth.</t>
  </si>
  <si>
    <t xml:space="preserve">Wisteria (ING 524F)</t>
  </si>
  <si>
    <t xml:space="preserve">gw-inspiration-gold-524f</t>
  </si>
  <si>
    <t xml:space="preserve">ING 524F</t>
  </si>
  <si>
    <t xml:space="preserve">Wisteria</t>
  </si>
  <si>
    <t xml:space="preserve">https://raw.githubusercontent.com/CadelMVH/Wix-Gallery-Downloads/main/ING/ING524F.pdf</t>
  </si>
  <si>
    <t xml:space="preserve">https://momento360.com/e/uc/e5c1afd139f44056a111566c62a66a91</t>
  </si>
  <si>
    <t xml:space="preserve">https://static.wixstatic.com/media/866235_a6617fbac9ed4ff9b3e3dd4c0fb6dbd0~mv2.webp</t>
  </si>
  <si>
    <t xml:space="preserve">https://static.wixstatic.com/media/866235_a6617fbac9ed4ff9b3e3dd4c0fb6dbd0~mv2.webp; https://static.wixstatic.com/media/866235_ddff3ff66afd4d7181ff05a896088610~mv2.webp; https://static.wixstatic.com/media/866235_6d04182788e947fba55e3712c260f17b~mv2.jpg</t>
  </si>
  <si>
    <t xml:space="preserve">The Inspiration Gold Series / Wisteria ING 524F built by Golden West Albany features 3 bedrooms, 2 bathrooms, and 1,404 square feet of inviting living space. The layout is designed to balance comfort and function, offering cozy bedrooms, a central living area, and a welcoming flow throughout. Whether you’re starting fresh or downsizing with style, The Wisteria ING 524F is a well-rounded manufactured home that brings convenience and charm together seamlessly.</t>
  </si>
  <si>
    <t xml:space="preserve">Cottonwood (ING 563F)</t>
  </si>
  <si>
    <t xml:space="preserve">gw-inspiration-gold-563f</t>
  </si>
  <si>
    <t xml:space="preserve">ING 563F</t>
  </si>
  <si>
    <t xml:space="preserve">Cottonwood</t>
  </si>
  <si>
    <t xml:space="preserve">https://raw.githubusercontent.com/CadelMVH/Wix-Gallery-Downloads/main/ING/ING563F.pdf</t>
  </si>
  <si>
    <t xml:space="preserve">https://static.wixstatic.com/media/866235_60df0cfdc17b45a4a98239d6072d99c1~mv2.webp</t>
  </si>
  <si>
    <t xml:space="preserve">https://static.wixstatic.com/media/866235_60df0cfdc17b45a4a98239d6072d99c1~mv2.webp; https://static.wixstatic.com/media/866235_50f1f2a92da44d1cb1b524735fa7fc7c~mv2.jpg</t>
  </si>
  <si>
    <t xml:space="preserve">The Inspiration Gold Series / Cottonwood ING 563F built by Golden West Homes offers 1,512 square feet of thoughtfully designed living space, featuring 3 bedrooms and 2 bathrooms. This manufactured home blends style with functionality, with spacious living areas ideal for gatherings and private bedrooms that offer a cozy retreat. The Cottonwood ING 563F is a perfect choice for families or individuals seeking a modern home that combines everyday convenience with a welcoming atmosphere for comfortable living.</t>
  </si>
  <si>
    <t xml:space="preserve">Scarlet Oak (ING 565F)</t>
  </si>
  <si>
    <t xml:space="preserve">gw-inspiration-gold-565f</t>
  </si>
  <si>
    <t xml:space="preserve">ING 565F</t>
  </si>
  <si>
    <t xml:space="preserve">Scarlet Oak</t>
  </si>
  <si>
    <t xml:space="preserve">https://raw.githubusercontent.com/CadelMVH/Wix-Gallery-Downloads/main/ING/ING565F.pdf</t>
  </si>
  <si>
    <t xml:space="preserve">https://static.wixstatic.com/media/866235_a501b9edc0144f5b83fffe6cdd7ea904~mv2.webp</t>
  </si>
  <si>
    <t xml:space="preserve">The Inspiration Gold Series / The Scarlet Oak ING 565F built by Golden West Albany offers 3 bedrooms, 2 bathrooms, and 1,512 square feet of thoughtfully arranged space. With its well-balanced layout and inviting atmosphere, this manufactured home provides the comfort of private bedrooms and the convenience of open shared areas. The Scarlet Oak ING 565F is ideal for those seeking a stylish and functional home that adapts easily to everyday living.</t>
  </si>
  <si>
    <t xml:space="preserve">Shasta (ING 564F)</t>
  </si>
  <si>
    <t xml:space="preserve">gw-inspiration-gold-564f</t>
  </si>
  <si>
    <t xml:space="preserve">ING 564F</t>
  </si>
  <si>
    <t xml:space="preserve">Shasta</t>
  </si>
  <si>
    <t xml:space="preserve">https://raw.githubusercontent.com/CadelMVH/Wix-Gallery-Downloads/main/ING/ING564F.pdf</t>
  </si>
  <si>
    <t xml:space="preserve">https://momento360.com/e/uc/d4eebf0274f4454fa5f84f43c9d45ba3</t>
  </si>
  <si>
    <t xml:space="preserve">https://static.wixstatic.com/media/866235_e8db84fe6be7429790969dd0a236d5d1~mv2.webp</t>
  </si>
  <si>
    <t xml:space="preserve">https://static.wixstatic.com/media/866235_e8db84fe6be7429790969dd0a236d5d1~mv2.webp; https://static.wixstatic.com/media/866235_9e1592afe2ac43c18afa7711bea898f1~mv2.webp; https://static.wixstatic.com/media/866235_4bd3921615154c098e716ac89e50c6a6~mv2.webp; https://static.wixstatic.com/media/866235_c4b4fffcc89a480dbd5d7513515c96e5~mv2.jpg</t>
  </si>
  <si>
    <t xml:space="preserve">The Inspiration Gold Series / Shasta ING 564F built by Golden West Homes offers 1,512 square feet of well-planned living space, featuring 3 bedrooms and 2 bathrooms. This manufactured home is designed to meet both comfort and style needs, with open living areas ideal for social gatherings and private bedrooms that create a cozy retreat. The Shasta ING 564F is an excellent choice for families or individuals seeking a modern home that balances functionality with a warm, inviting atmosphere.</t>
  </si>
  <si>
    <t xml:space="preserve">Spruce (ING 561F)</t>
  </si>
  <si>
    <t xml:space="preserve">gw-inspiration-gold-561f</t>
  </si>
  <si>
    <t xml:space="preserve">ING 561F</t>
  </si>
  <si>
    <t xml:space="preserve">Spruce</t>
  </si>
  <si>
    <t xml:space="preserve">https://raw.githubusercontent.com/CadelMVH/Wix-Gallery-Downloads/main/ING/ING561F.pdf</t>
  </si>
  <si>
    <t xml:space="preserve">https://momento360.com/e/uc/24faa7a6025d4d13a4ff8ba3689e9fda</t>
  </si>
  <si>
    <t xml:space="preserve">https://my.matterport.com/show/?play=1&amp;m=iUG3qkNrKfa</t>
  </si>
  <si>
    <t xml:space="preserve">https://static.wixstatic.com/media/866235_386303e865d74691901a5a1dbd78d4bd~mv2.webp</t>
  </si>
  <si>
    <t xml:space="preserve">https://static.wixstatic.com/media/866235_386303e865d74691901a5a1dbd78d4bd~mv2.webp; https://static.wixstatic.com/media/866235_a54afd8ab0f94804bf24aafa36928450~mv2.webp; https://static.wixstatic.com/media/866235_a37ba0ee356c494e972e5c133da3b2ac~mv2.webp; https://static.wixstatic.com/media/866235_a722a81465064ce99b2f596c0022072f~mv2.jpg</t>
  </si>
  <si>
    <t xml:space="preserve">The Inspiration Gold Series / Spruce ING 561F built by Golden West Homes provides 1,458 square feet of thoughtfully arranged living space, featuring 3 bedrooms and 2 bathrooms. This manufactured home is designed for comfort and style, with open living areas perfect for gatherings and private bedrooms that offer a cozy retreat. The Spruce ING 561F is an ideal choice for families or individuals seeking a modern home that combines functionality with a welcoming atmosphere, supporting both relaxation and everyday life.</t>
  </si>
  <si>
    <t xml:space="preserve">Grand Noble (ING 605F)</t>
  </si>
  <si>
    <t xml:space="preserve">gw-inspiration-gold-605f</t>
  </si>
  <si>
    <t xml:space="preserve">ING 605F</t>
  </si>
  <si>
    <t xml:space="preserve">Grand Noble</t>
  </si>
  <si>
    <t xml:space="preserve">https://raw.githubusercontent.com/CadelMVH/Wix-Gallery-Downloads/main/ING/ING605F.pdf</t>
  </si>
  <si>
    <t xml:space="preserve">https://my.matterport.com/show/?play=1&amp;m=QkyD1Gqr67p</t>
  </si>
  <si>
    <t xml:space="preserve">https://static.wixstatic.com/media/866235_36a39eecffdf4c83a5bc415ce94fc164~mv2.webp</t>
  </si>
  <si>
    <t xml:space="preserve">https://static.wixstatic.com/media/866235_36a39eecffdf4c83a5bc415ce94fc164~mv2.webp; https://static.wixstatic.com/media/866235_cd114917670a419f83dae9a917f6ed3c~mv2.jpg</t>
  </si>
  <si>
    <t xml:space="preserve">The Inspiration Gold Series / Grand Noble ING 605F built by Golden West Homes offers 1,620 square feet of thoughtfully arranged living space, featuring 3 bedrooms and 2 bathrooms. This manufactured home is designed for those who value both style and functionality, with spacious living areas for gatherings and private bedrooms that provide a relaxing retreat. The Grand Noble ING 605F is an excellent choice for families or individuals seeking a modern home that balances comfort and practical living solutions.</t>
  </si>
  <si>
    <t xml:space="preserve">Shagbark Hickory (ING 662F)</t>
  </si>
  <si>
    <t xml:space="preserve">gw-inspiration-gold-662f</t>
  </si>
  <si>
    <t xml:space="preserve">ING 662F</t>
  </si>
  <si>
    <t xml:space="preserve">Shagbark Hickory</t>
  </si>
  <si>
    <t xml:space="preserve">https://raw.githubusercontent.com/CadelMVH/Wix-Gallery-Downloads/main/ING/ING662F.pdf</t>
  </si>
  <si>
    <t xml:space="preserve">https://static.wixstatic.com/media/866235_6f0c8e04ab2b422d98722b322d2269d6~mv2.webp</t>
  </si>
  <si>
    <t xml:space="preserve">https://static.wixstatic.com/media/866235_6f0c8e04ab2b422d98722b322d2269d6~mv2.webp; https://static.wixstatic.com/media/866235_6666196d273745cb9551583c3b190fc1~mv2.jpg</t>
  </si>
  <si>
    <t xml:space="preserve">The Inspiration Gold Series / The Shagbark Hickory ING 662F built by Golden West Albany offers 4 bedrooms, 2 bathrooms, and 1,773 square feet of comfortable living space. With a layout that encourages family connection and easy everyday living, this manufactured home brings together warmth and convenience under one roof. The Shagbark Hickory ING 662F is a welcoming and spacious home that’s ready to support your family’s next chapter.</t>
  </si>
  <si>
    <t xml:space="preserve">Eucalyptus (ING 681F)</t>
  </si>
  <si>
    <t xml:space="preserve">gw-inspiration-gold-681f</t>
  </si>
  <si>
    <t xml:space="preserve">ING 681F</t>
  </si>
  <si>
    <t xml:space="preserve">Eucalyptus</t>
  </si>
  <si>
    <t xml:space="preserve">https://raw.githubusercontent.com/CadelMVH/Wix-Gallery-Downloads/main/ING/ING681F.pdf</t>
  </si>
  <si>
    <t xml:space="preserve">https://momento360.com/e/uc/82c50572b7cb4955a9e8bd9223e45cf0</t>
  </si>
  <si>
    <t xml:space="preserve">https://static.wixstatic.com/media/866235_c39eaa6bd99a45649f99387daa9f0934~mv2.webp</t>
  </si>
  <si>
    <t xml:space="preserve">https://static.wixstatic.com/media/866235_c39eaa6bd99a45649f99387daa9f0934~mv2.webp; https://static.wixstatic.com/media/866235_6fe37461e3ed4cfdb4e08d96bbd9d582~mv2.webp; https://static.wixstatic.com/media/866235_bae653e2ec5848eda056e061ddd84c8f~mv2.webp; https://static.wixstatic.com/media/866235_e713a530d6304c008b7b2140389c8904~mv2.jpg; https://static.wixstatic.com/media/866235_3411fb59c74f4c8f9e69b88bb58d2b4e~mv2.jpg; https://static.wixstatic.com/media/866235_6e5e7dcdecef479b9b887013df71f625~mv2.jpg; https://static.wixstatic.com/media/866235_4225a6572ba84c21b877575d626e81b5~mv2.jpg; https://static.wixstatic.com/media/866235_34773e10d6814e1daaa95da0d5b094ad~mv2.jpg; https://static.wixstatic.com/media/866235_90789f12e7754cf1a04209f75626d375~mv2.jpg; https://static.wixstatic.com/media/866235_67f24552ce924e048eedcf744852b75b~mv2.jpg; https://static.wixstatic.com/media/866235_a53d372ff02a417f939002012b1d9c1d~mv2.jpg; https://static.wixstatic.com/media/866235_47620e8cccac49b1904e94a8fddf0780~mv2.jpg; https://static.wixstatic.com/media/866235_b620dc87660b428eb80bdf7f4266c56d~mv2.jpg; https://static.wixstatic.com/media/866235_132c28daa7f24ee283eee04fd8c89fa7~mv2.jpg</t>
  </si>
  <si>
    <t xml:space="preserve">The Inspiration Gold Series / Eucalyptus ING 681F built by Golden West Homes provides 1,836 square feet of thoughtfully designed living space, featuring 3 bedrooms and 2 bathrooms. This manufactured home offers a blend of style and functionality, with spacious living areas perfect for gatherings and private bedrooms that create a peaceful retreat. The Eucalyptus ING 681F is a wonderful choice for families or individuals seeking a modern home that combines comfort with a welcoming atmosphere.</t>
  </si>
  <si>
    <t xml:space="preserve">Western Larch (ING 684F)</t>
  </si>
  <si>
    <t xml:space="preserve">gw-inspiration-gold-684f</t>
  </si>
  <si>
    <t xml:space="preserve">ING 684F</t>
  </si>
  <si>
    <t xml:space="preserve">Western Larch</t>
  </si>
  <si>
    <t xml:space="preserve">https://raw.githubusercontent.com/CadelMVH/Wix-Gallery-Downloads/main/ING/ING684F.pdf</t>
  </si>
  <si>
    <t xml:space="preserve">https://static.wixstatic.com/media/866235_294dec024f0947749abc08eb031c8f14~mv2.webp</t>
  </si>
  <si>
    <t xml:space="preserve">https://static.wixstatic.com/media/866235_294dec024f0947749abc08eb031c8f14~mv2.webp; https://static.wixstatic.com/media/866235_b9757a2f73dc4a75b05249389d0a1ede~mv2.webp; https://static.wixstatic.com/media/866235_501dcbe3498f4860942bdd8053e353c0~mv2.jpg</t>
  </si>
  <si>
    <t xml:space="preserve">The Inspiration Gold Series / Western Larch ING 684F built by Golden West Homes provides 1,836 square feet of spacious living, featuring 3 bedrooms and 2 bathrooms. This manufactured home balances comfort with elegance, offering open areas perfect for gatherings and private bedrooms that provide a peaceful escape. The Western Larch ING 684F is a top choice for families or individuals seeking a stylish, functional home that meets modern living needs, making daily life comfortable and inviting in every detail.</t>
  </si>
  <si>
    <t xml:space="preserve">Tamarack (ING 621K)</t>
  </si>
  <si>
    <t xml:space="preserve">gw-inspiration-gold-621k</t>
  </si>
  <si>
    <t xml:space="preserve">ING 621K</t>
  </si>
  <si>
    <t xml:space="preserve">Tamarack</t>
  </si>
  <si>
    <t xml:space="preserve">Triple</t>
  </si>
  <si>
    <t xml:space="preserve">TRIPLE WIDE</t>
  </si>
  <si>
    <t xml:space="preserve">https://raw.githubusercontent.com/CadelMVH/Wix-Gallery-Downloads/main/ING/ING621K.pdf</t>
  </si>
  <si>
    <t xml:space="preserve">https://momento360.com/e/uc/3d33004720554c6c96b4f5dfbb605b25</t>
  </si>
  <si>
    <t xml:space="preserve">https://static.wixstatic.com/media/866235_73dd3248ce204175b8031c8873fc99b3~mv2.webp</t>
  </si>
  <si>
    <t xml:space="preserve">https://static.wixstatic.com/media/866235_73dd3248ce204175b8031c8873fc99b3~mv2.webp; https://static.wixstatic.com/media/866235_9edc6cff36a44a9f919560ce4fa705e6~mv2.webp; https://static.wixstatic.com/media/866235_fbc67a8e9e2a4b4aaacb31d7f99c75d4~mv2.jpg</t>
  </si>
  <si>
    <t xml:space="preserve">The Inspiration Gold Series / Tamarack ING 621K built by Golden West Homes offers 1,993 square feet of beautifully crafted living space, featuring 3 bedrooms and 2 bathrooms. This manufactured home is designed for those who appreciate both style and function, with spacious living areas for entertaining and private bedrooms that provide a relaxing retreat. The Tamarack ING 621K is an excellent choice for families or individuals seeking a modern, versatile home that combines comfort with practical design.</t>
  </si>
  <si>
    <t xml:space="preserve">Giant Sequoia (ING 762G)</t>
  </si>
  <si>
    <t xml:space="preserve">gw-inspiration-gold-762g</t>
  </si>
  <si>
    <t xml:space="preserve">ING 762G</t>
  </si>
  <si>
    <t xml:space="preserve">Giant Sequoia</t>
  </si>
  <si>
    <t xml:space="preserve">30' WIDE</t>
  </si>
  <si>
    <t xml:space="preserve">https://raw.githubusercontent.com/CadelMVH/Wix-Gallery-Downloads/main/ING/ING762G.pdf</t>
  </si>
  <si>
    <t xml:space="preserve">https://my.matterport.com/show/?m=o6SZeYvAzTd</t>
  </si>
  <si>
    <t xml:space="preserve">https://static.wixstatic.com/media/866235_7a7710d23e64421a846429f49952ff6c~mv2.webp</t>
  </si>
  <si>
    <t xml:space="preserve">https://static.wixstatic.com/media/866235_7a7710d23e64421a846429f49952ff6c~mv2.webp; https://static.wixstatic.com/media/866235_37f01b7f39614604adc8b62fcbad3130~mv2.webp; https://static.wixstatic.com/media/866235_db4911abf39a40159bbb1ff7489f1496~mv2.jpg</t>
  </si>
  <si>
    <t xml:space="preserve">The Inspiration Gold Series / Giant Sequoia ING 762G built by Golden West Homes provides a spacious 2,280 square feet of living space, featuring 4 bedrooms and 2 bathrooms. This manufactured home is crafted to accommodate both family life and gatherings, offering expansive open areas for socializing and private bedrooms that serve as a restful retreat. The Giant Sequoia ING 762G is an ideal choice for those seeking a modern, roomy home that combines functionality with a warm and inviting atmosphere for everyday comfort.</t>
  </si>
  <si>
    <t xml:space="preserve">Weeping Willow (ING 764G)</t>
  </si>
  <si>
    <t xml:space="preserve">gw-inspiration-gold-764g</t>
  </si>
  <si>
    <t xml:space="preserve">ING 764G</t>
  </si>
  <si>
    <t xml:space="preserve">Weeping Willow</t>
  </si>
  <si>
    <t xml:space="preserve">https://raw.githubusercontent.com/CadelMVH/Wix-Gallery-Downloads/main/ING/ING764G.pdf</t>
  </si>
  <si>
    <t xml:space="preserve">https://static.wixstatic.com/media/866235_56f6b3fe1ddc4849a569dcb79dcbcf0a~mv2.webp</t>
  </si>
  <si>
    <t xml:space="preserve">https://static.wixstatic.com/media/866235_56f6b3fe1ddc4849a569dcb79dcbcf0a~mv2.webp; https://static.wixstatic.com/media/866235_771fae93f7b94c21937c7687b588475b~mv2.jpg</t>
  </si>
  <si>
    <t xml:space="preserve">The Inspiration Gold Series / Weeping Willow ING 764G built by Golden West Homes offers a generous 2,280 square feet of living space, featuring 4 bedrooms and 2 bathrooms. This manufactured home is thoughtfully designed for family living, with expansive open areas perfect for gatherings and private bedrooms that provide a peaceful retreat. The Weeping Willow ING 764G is an ideal choice for those seeking a spacious, modern home that combines functionality with a warm, welcoming atmosphere for comfortable everyday life.</t>
  </si>
  <si>
    <t xml:space="preserve">General Sherman (ING 602K)</t>
  </si>
  <si>
    <t xml:space="preserve">gw-inspiration-gold-602k</t>
  </si>
  <si>
    <t xml:space="preserve">ING 602K</t>
  </si>
  <si>
    <t xml:space="preserve">General Sherman</t>
  </si>
  <si>
    <t xml:space="preserve">https://raw.githubusercontent.com/CadelMVH/Wix-Gallery-Downloads/main/ING/ING602K.pdf</t>
  </si>
  <si>
    <t xml:space="preserve">https://static.wixstatic.com/media/866235_e930c73dfc5b4b9ea6ce858ab4b004d0~mv2.webp</t>
  </si>
  <si>
    <t xml:space="preserve">https://static.wixstatic.com/media/866235_e930c73dfc5b4b9ea6ce858ab4b004d0~mv2.webp; https://static.wixstatic.com/media/866235_b473f23372434ee3b5ed047c9f856af9~mv2.webp; https://static.wixstatic.com/media/866235_8d84096105d3442cb49fe56fd0e2416f~mv2.jpg</t>
  </si>
  <si>
    <t xml:space="preserve">The Inspiration Gold Series / The General Sherman ING 602K built by Golden West Albany delivers an expansive 2,347 square feet of well-designed living space with 3 bedrooms and 2 bathrooms. This manufactured home showcases an inviting layout that offers both privacy and togetherness, ideal for everyday life or entertaining guests. The General Sherman ING 602K is a refined and spacious retreat that perfectly blends function and comfort.</t>
  </si>
  <si>
    <t xml:space="preserve">White Pine (ING 601K)</t>
  </si>
  <si>
    <t xml:space="preserve">gw-inspiration-gold-601k</t>
  </si>
  <si>
    <t xml:space="preserve">ING 601K</t>
  </si>
  <si>
    <t xml:space="preserve">White Pine</t>
  </si>
  <si>
    <t xml:space="preserve">https://raw.githubusercontent.com/CadelMVH/Wix-Gallery-Downloads/main/ING/ING601K.pdf</t>
  </si>
  <si>
    <t xml:space="preserve">https://static.wixstatic.com/media/866235_18e97ea091ad4f8ebc663dd16f955a9a~mv2.webp</t>
  </si>
  <si>
    <t xml:space="preserve">https://static.wixstatic.com/media/866235_18e97ea091ad4f8ebc663dd16f955a9a~mv2.webp; https://static.wixstatic.com/media/866235_cb70ab86ebda4d349329059ef381bb22~mv2.jpg; https://static.wixstatic.com/media/866235_b473f23372434ee3b5ed047c9f856af9~mv2.webp</t>
  </si>
  <si>
    <t xml:space="preserve">The Inspiration Gold Series / White Pine ING 601K built by Golden West Homes provides a spacious 2,347 square feet of living space, featuring 3 bedrooms and 3 bathrooms. This manufactured home is designed for those who value both luxury and practicality, offering expansive open areas ideal for entertaining and private bedrooms that ensure a peaceful retreat. The White Pine ING 601K is an exceptional choice for families or individuals seeking a modern, roomy home that balances comfort with sophisticated style, making daily living a pleasure.</t>
  </si>
  <si>
    <t xml:space="preserve">Ute Prayer (ING 682K)</t>
  </si>
  <si>
    <t xml:space="preserve">gw-inspiration-gold-682k</t>
  </si>
  <si>
    <t xml:space="preserve">ING 682K</t>
  </si>
  <si>
    <t xml:space="preserve">Ute Prayer</t>
  </si>
  <si>
    <t xml:space="preserve">https://raw.githubusercontent.com/CadelMVH/Wix-Gallery-Downloads/main/ING/ING682K.pdf</t>
  </si>
  <si>
    <t xml:space="preserve">https://static.wixstatic.com/media/866235_2fa13a2f5b904941a3cb75825d9edf03~mv2.webp</t>
  </si>
  <si>
    <t xml:space="preserve">https://static.wixstatic.com/media/866235_2fa13a2f5b904941a3cb75825d9edf03~mv2.webp; https://static.wixstatic.com/media/866235_a1362854bf714437984799545c2a6e67~mv2.jpg; https://static.wixstatic.com/media/866235_ed8fce1882f64cb8a8ed4a51aa5cc238~mv2.webp</t>
  </si>
  <si>
    <t xml:space="preserve">The Inspiration Gold Series / Ute Prayer ING 682K built by Golden West Homes offers an impressive 2,654 square feet of living space, featuring 4 bedrooms and 2 bathrooms. This manufactured home is crafted for those who value both space and comfort, with expansive open areas perfect for gatherings and private bedrooms that create a peaceful retreat. The Ute Prayer ING 682K is an ideal choice for families or individuals seeking a modern home that combines ample room with stylish, functional design for everyday enjoyment.</t>
  </si>
  <si>
    <t xml:space="preserve">Single Wide Duplex</t>
  </si>
  <si>
    <t xml:space="preserve">gw-gwd-4</t>
  </si>
  <si>
    <t xml:space="preserve">Duplex</t>
  </si>
  <si>
    <t xml:space="preserve">ADU-290N</t>
  </si>
  <si>
    <t xml:space="preserve">missing bed/bath data</t>
  </si>
  <si>
    <t xml:space="preserve">https://static.wixstatic.com/media/866235_f42fccbe04864bee8b7ef15e2cbcbd9e~mv2.png</t>
  </si>
  <si>
    <t xml:space="preserve">https://static.wixstatic.com/media/866235_f42fccbe04864bee8b7ef15e2cbcbd9e~mv2.png; https://static.wixstatic.com/media/866235_01565efff3ef4749b0ba7a4813de0723~mv2.png</t>
  </si>
  <si>
    <t xml:space="preserve">Golden West Duplex 2-2 x 2-2</t>
  </si>
  <si>
    <t xml:space="preserve">gw-gwd-2</t>
  </si>
  <si>
    <t xml:space="preserve">GW-Duplex-2/2</t>
  </si>
  <si>
    <t xml:space="preserve">30′ 0″ x 72′ 0″</t>
  </si>
  <si>
    <t xml:space="preserve">https://cadelmvh.github.io/Duplex_No1/</t>
  </si>
  <si>
    <t xml:space="preserve">https://static.wixstatic.com/media/866235_796e4260b1b742ffa976744bdc607a02~mv2.jpg</t>
  </si>
  <si>
    <t xml:space="preserve">https://static.wixstatic.com/media/866235_796e4260b1b742ffa976744bdc607a02~mv2.jpg; https://static.wixstatic.com/media/866235_7a1e30ef8b5a4f3398ae5dda2216443d~mv2.gif; https://static.wixstatic.com/media/866235_94e2a8a25ab344bead70df53434e0334~mv2.png</t>
  </si>
  <si>
    <t xml:space="preserve">The Duplex / 30×72 Duplex 2-2 x 2-2 built by Golden West Albany is a true duplex with two private homes under one roof. Totaling 2,160 square feet, this plan pairs a -bedroom, 2-bath residence on one side with a 2-bedroom, 2-bath residence on the other. Each side features a bright living room, dining area, and efficient kitchen, plus convenient storage. A shared wall keeps life quiet, while separate entries add privacy. Choose The 30×72 Duplex 2-2 x 2-2 for flexible living—tour today and see the possibilities.</t>
  </si>
  <si>
    <t xml:space="preserve">Golden West Duplex 3-2 x 2-2</t>
  </si>
  <si>
    <t xml:space="preserve">gw-gwd-3</t>
  </si>
  <si>
    <t xml:space="preserve">GW-Duplex-3/2</t>
  </si>
  <si>
    <t xml:space="preserve">https://static.wixstatic.com/media/866235_1b6d00a4b6784d148e51bc9f9494d5b4~mv2.png</t>
  </si>
  <si>
    <t xml:space="preserve">https://static.wixstatic.com/media/866235_1b6d00a4b6784d148e51bc9f9494d5b4~mv2.png; https://static.wixstatic.com/media/866235_b002e90389834b27a62c3da195564532~mv2.gif; https://static.wixstatic.com/media/866235_80b647c7ba714419add12de26fcb531f~mv2.jpg</t>
  </si>
  <si>
    <t xml:space="preserve">The Duplex / 30×72 Duplex 3-2 x 2-2 built by Golden West Albany is a true duplex with two private homes under one roof. Totaling 2,160 square feet, this plan pairs a 3-bedroom, 2-bath residence on one side with a 2-bedroom, 2-bath residence on the other. Each side features a bright living room, dining area, and efficient kitchen, plus convenient storage. A shared wall keeps life quiet, while separate entries add privacy. Choose The 30×72 Duplex 3-2 x 2-2 for flexible living—tour today and see the possibilities.</t>
  </si>
  <si>
    <t xml:space="preserve">Golden West Duplex 3-2 x 3-2</t>
  </si>
  <si>
    <t xml:space="preserve">gw-gwd-1</t>
  </si>
  <si>
    <t xml:space="preserve">GW-Duplex-3/3</t>
  </si>
  <si>
    <t xml:space="preserve">https://static.wixstatic.com/media/866235_94e2a8a25ab344bead70df53434e0334~mv2.png</t>
  </si>
  <si>
    <t xml:space="preserve">https://static.wixstatic.com/media/866235_94e2a8a25ab344bead70df53434e0334~mv2.png; https://static.wixstatic.com/media/866235_fd9c678bf7b14cc79f13d8c0b84463d7~mv2.gif; https://static.wixstatic.com/media/866235_5a6fcf024ea34aa2b71021352d8c88b8~mv2.png; https://static.wixstatic.com/media/866235_4acf3f48ba5348ea95b4c24a8705d4f1~mv2.jpg</t>
  </si>
  <si>
    <t xml:space="preserve">The Duplex / 30×72 Duplex 3-2 x 3-2 built by Golden West Albany is a true duplex with two private homes under one roof. Totaling 2,160 square feet, this plan pairs a 3-bedroom, 2-bath residence on one side with a 3-bedroom, 2-bath residence on the other. Each side features a bright living room, dining area, and efficient kitchen, plus convenient storage. A shared wall keeps life quiet, while separate entries add privacy. Choose The 30×72 Duplex 3-2 x 3-2 for flexible living—tour today and see the possibilities.</t>
  </si>
  <si>
    <t xml:space="preserve">Dream Park Model - The Lodge</t>
  </si>
  <si>
    <t xml:space="preserve">gw-gwp-1</t>
  </si>
  <si>
    <t xml:space="preserve">Dream Park Model</t>
  </si>
  <si>
    <t xml:space="preserve">Park Model</t>
  </si>
  <si>
    <t xml:space="preserve">DPS 331M</t>
  </si>
  <si>
    <t xml:space="preserve">12′ 0″ x 33′ 0″</t>
  </si>
  <si>
    <t xml:space="preserve">https://cadelmvh.github.io/The-Lodge/</t>
  </si>
  <si>
    <t xml:space="preserve">https://static.wixstatic.com/media/866235_71f71ad02d05411e9a6ce4a0882834e3~mv2.jpg</t>
  </si>
  <si>
    <t xml:space="preserve">https://static.wixstatic.com/media/866235_71f71ad02d05411e9a6ce4a0882834e3~mv2.jpg; https://static.wixstatic.com/media/866235_c67d02f9967046b4bf25e6a81fd2e449~mv2.jpg; https://static.wixstatic.com/media/866235_09a8718929674f2ba9955656b0978ff0~mv2.jpg; https://static.wixstatic.com/media/866235_541734b98aea46eb9604c52aa6f7d466~mv2.jpg; https://static.wixstatic.com/media/866235_81e57ad665d64103a9d7c61731df5cfa~mv2.jpg; https://static.wixstatic.com/media/866235_667dfeac2908462dba21caad4a46b777~mv2.jpg; https://static.wixstatic.com/media/866235_f91d1f49b37746efb181f1e2e552e918~mv2.jpg; https://static.wixstatic.com/media/866235_259639b674b34b269708586047f9e59a~mv2.jpg; https://static.wixstatic.com/media/866235_5b957d01a61e4b23a0eb493c49ad2079~mv2.jpg; https://static.wixstatic.com/media/866235_d01e6959c5914ce4b5e4c25bf2dd3fb8~mv2.jpg; https://static.wixstatic.com/media/866235_d023eb7ea4ee45d2b51fbc4f73291c71~mv2.jpg; https://static.wixstatic.com/media/866235_afcbcd37780640ab99601796aad4597d~mv2.jpg; https://static.wixstatic.com/media/866235_b866ed0162ff4109aeb2f6a72ce1c7c5~mv2.jpg; https://static.wixstatic.com/media/866235_3475b26973dd456eadd7436c0a53822e~mv2.jpg; https://static.wixstatic.com/media/866235_0b2a013910d44f1fadef5ee78d1f237d~mv2.jpg</t>
  </si>
  <si>
    <t xml:space="preserve">The 400 Series / DPS 331M built by Golden West Homes offers 396 square feet of well-designed living space, featuring 1 bedroom and 1 bathroom. This park model home maximizes comfort within a compact layout, with an open living area that enhances functionality and a private bedroom that provides a cozy retreat. The DPS 331M is an ideal choice for individuals or couples seeking a modern, efficient park model that blends practicality with a welcoming atmosphere, perfect for getaways or long-term stays.</t>
  </si>
  <si>
    <t xml:space="preserve">Columbia River 1001</t>
  </si>
  <si>
    <t xml:space="preserve">mar-columbia-river-1001</t>
  </si>
  <si>
    <t xml:space="preserve">Marlette</t>
  </si>
  <si>
    <t xml:space="preserve">Columbia River</t>
  </si>
  <si>
    <t xml:space="preserve">1001</t>
  </si>
  <si>
    <t xml:space="preserve">13' 4" x 36'</t>
  </si>
  <si>
    <t xml:space="preserve">https://raw.githubusercontent.com/CadelMVH/Wix-Gallery-Downloads/main/CR/1001.pdf</t>
  </si>
  <si>
    <t xml:space="preserve">https://my.matterport.com/show?play=1&amp;lang=en-US&amp;m=FgFZPzopwY2</t>
  </si>
  <si>
    <t xml:space="preserve">https://static.wixstatic.com/media/866235_853d5164a3c24b8eaa102b292ed30151~mv2.webp</t>
  </si>
  <si>
    <t xml:space="preserve">https://static.wixstatic.com/media/866235_853d5164a3c24b8eaa102b292ed30151~mv2.webp; https://static.wixstatic.com/media/866235_247cb1ec990a4c5691a4e0a8eff1d90a~mv2.webp</t>
  </si>
  <si>
    <t xml:space="preserve">The 1001 built by Clayton West Hermiston is a well-crafted home featuring 1 bedroom, 1 bathroom, and 480 sq. ft. of living space. The open floor plan maximizes functionality, seamlessly connecting the living room, kitchen, and dining area. The master bedroom provides ample space and privacy, while modern finishes enhance the home’s appeal. Built with energy-efficient materials, the 1001 offers a comfortable and stylish living experience. 3D Tour</t>
  </si>
  <si>
    <t xml:space="preserve">Columbia River 1002</t>
  </si>
  <si>
    <t xml:space="preserve">mar-columbia-river-1002</t>
  </si>
  <si>
    <t xml:space="preserve">1002</t>
  </si>
  <si>
    <t xml:space="preserve">13' 4" x 40'</t>
  </si>
  <si>
    <t xml:space="preserve">https://raw.githubusercontent.com/CadelMVH/Wix-Gallery-Downloads/main/CR/1002.pdf</t>
  </si>
  <si>
    <t xml:space="preserve">https://static.wixstatic.com/media/866235_bb979c7ad8c24e6e9b892a73d9b640f2~mv2.webp</t>
  </si>
  <si>
    <t xml:space="preserve">https://static.wixstatic.com/media/866235_bb979c7ad8c24e6e9b892a73d9b640f2~mv2.webp; https://static.wixstatic.com/media/866235_c9d24db2ee3e492c9f4b550f2e52be2c~mv2.webp</t>
  </si>
  <si>
    <t xml:space="preserve">The 1002 built by Clayton West Hermiston is a thoughtfully designed home featuring 1 bedroom, 1 bathroom, and 536 sq. ft. of living space. The efficient layout includes a cozy living room, a well-appointed kitchen, and a dining area ideal for entertaining. The master suite offers a peaceful retreat with ample storage. Built for energy efficiency and lasting quality, the 1002 is a perfect choice for those seeking affordability and style.</t>
  </si>
  <si>
    <t xml:space="preserve">Columbia River 1003</t>
  </si>
  <si>
    <t xml:space="preserve">mar-columbia-river-1003</t>
  </si>
  <si>
    <t xml:space="preserve">1003</t>
  </si>
  <si>
    <t xml:space="preserve">13' 4" x 48'</t>
  </si>
  <si>
    <t xml:space="preserve">https://raw.githubusercontent.com/CadelMVH/Wix-Gallery-Downloads/main/CR/1003.pdf</t>
  </si>
  <si>
    <t xml:space="preserve">https://static.wixstatic.com/media/866235_e4ac621f8a3144889a60b5345bebc466~mv2.webp</t>
  </si>
  <si>
    <t xml:space="preserve">https://static.wixstatic.com/media/866235_e4ac621f8a3144889a60b5345bebc466~mv2.webp; https://static.wixstatic.com/media/866235_1367a54e38994345b985714f664f2cc4~mv2.webp; https://static.wixstatic.com/media/866235_c4524d9295344d208f53f19d882b6bbb~mv2.webp</t>
  </si>
  <si>
    <t xml:space="preserve">The 1003 built by Clayton West Hermiston is a compact and efficient home featuring 2 bedrooms, 1 bathroom, and 640 sq. ft. of living space. The open-concept design maximizes space, with a functional kitchen and a comfortable living area. The master suite includes a private retreat with modern touches. Built with energy-efficient features, the 1003 provides a perfect blend of practicality and style.</t>
  </si>
  <si>
    <t xml:space="preserve">Columbia River 1006</t>
  </si>
  <si>
    <t xml:space="preserve">mar-columbia-river-1006</t>
  </si>
  <si>
    <t xml:space="preserve">1006</t>
  </si>
  <si>
    <t xml:space="preserve">15' x 48'</t>
  </si>
  <si>
    <t xml:space="preserve">https://raw.githubusercontent.com/CadelMVH/Wix-Gallery-Downloads/main/CR/1006.pdf</t>
  </si>
  <si>
    <t xml:space="preserve">https://static.wixstatic.com/media/866235_6ec16412751e43d6949e69ed8025edce~mv2.webp</t>
  </si>
  <si>
    <t xml:space="preserve">https://static.wixstatic.com/media/866235_6ec16412751e43d6949e69ed8025edce~mv2.webp; https://static.wixstatic.com/media/866235_9f48900df36f40e98c308a3d026c47da~mv2.webp; https://static.wixstatic.com/media/866235_115a402dfa834b91bb0be9609eb28f4c~mv2.webp</t>
  </si>
  <si>
    <t xml:space="preserve">The 1006 built by Clayton West Hermiston is a modern home offering 2 bedrooms, 2 bathrooms, and 720 sq. ft. of living space. The open-concept design creates a spacious feel, with a functional kitchen and a cozy living room. The master suite features a private bath and ample storage. Designed for efficiency and comfort, the 1006 is a great choice for those seeking a contemporary yet practical home.</t>
  </si>
  <si>
    <t xml:space="preserve">Columbia River 1004</t>
  </si>
  <si>
    <t xml:space="preserve">mar-columbia-river-1004</t>
  </si>
  <si>
    <t xml:space="preserve">1004</t>
  </si>
  <si>
    <t xml:space="preserve">13' 4" x 56'</t>
  </si>
  <si>
    <t xml:space="preserve">https://raw.githubusercontent.com/CadelMVH/Wix-Gallery-Downloads/main/CR/1004.pdf</t>
  </si>
  <si>
    <t xml:space="preserve">https://static.wixstatic.com/media/866235_22138506c8734aad9842602d7ba3df29~mv2.webp</t>
  </si>
  <si>
    <t xml:space="preserve">https://static.wixstatic.com/media/866235_22138506c8734aad9842602d7ba3df29~mv2.webp; https://static.wixstatic.com/media/866235_275084ce07cf4def9da7246877567d31~mv2.webp; https://static.wixstatic.com/media/866235_8b39c3a932444e208892e389e50f5b94~mv2.webp</t>
  </si>
  <si>
    <t xml:space="preserve">The 1004 built by Clayton West Hermiston is a stylish and efficient home featuring 2 bedrooms, 1 bathroom, and 766 sq. ft. of living space. The spacious living area flows seamlessly into the kitchen and dining space, creating a welcoming atmosphere. The master suite includes a walk-in closet and a private bath. With energy-efficient construction and contemporary finishes, the 1004 is a perfect balance of comfort and functionality.</t>
  </si>
  <si>
    <t xml:space="preserve">Columbia River 1005</t>
  </si>
  <si>
    <t xml:space="preserve">mar-columbia-river-1005</t>
  </si>
  <si>
    <t xml:space="preserve">1005</t>
  </si>
  <si>
    <t xml:space="preserve">13' 4" x 60'</t>
  </si>
  <si>
    <t xml:space="preserve">https://raw.githubusercontent.com/CadelMVH/Wix-Gallery-Downloads/main/CR/1005.pdf</t>
  </si>
  <si>
    <t xml:space="preserve">https://static.wixstatic.com/media/866235_741d7b445e3942978286e57855dce640~mv2.webp</t>
  </si>
  <si>
    <t xml:space="preserve">https://static.wixstatic.com/media/866235_741d7b445e3942978286e57855dce640~mv2.webp; https://static.wixstatic.com/media/866235_80c182da73ab4852ae280711607eee8c~mv2.webp</t>
  </si>
  <si>
    <t xml:space="preserve">The 1005 built by Clayton West Hermiston is a well-designed home featuring 2 bedrooms, 2 bathrooms, and 800 sq. ft. of living space. The open floor plan enhances the flow between the living room, kitchen, and dining area. The master suite provides a relaxing retreat with an ensuite bath. With energy-efficient construction and quality craftsmanship, the 1005 is ideal for modern living.</t>
  </si>
  <si>
    <t xml:space="preserve">Columbia River 2038</t>
  </si>
  <si>
    <t xml:space="preserve">mar-columbia-river-2038</t>
  </si>
  <si>
    <t xml:space="preserve">2038</t>
  </si>
  <si>
    <t xml:space="preserve">19' 8" x 44' / 41' 4"</t>
  </si>
  <si>
    <t xml:space="preserve">https://raw.githubusercontent.com/CadelMVH/Wix-Gallery-Downloads/main/CR/2038.pdf</t>
  </si>
  <si>
    <t xml:space="preserve">https://static.wixstatic.com/media/866235_e7ac39845ab045b187b4757696d5655d~mv2.webp</t>
  </si>
  <si>
    <t xml:space="preserve">https://static.wixstatic.com/media/866235_e7ac39845ab045b187b4757696d5655d~mv2.webp; https://static.wixstatic.com/media/866235_7352e20be5c44219ab33b4e7428c449d~mv2.webp</t>
  </si>
  <si>
    <t xml:space="preserve">The 2038 built by Clayton West Hermiston is a well-appointed multi-section home featuring 2 bedrooms, 2 bathrooms, and 839 sq. ft. of living space. The open layout enhances the sense of space, with a stylish living room, a modern kitchen, and a dining area perfect for gatherings. The master suite offers a private retreat with a walk-in closet and ensuite bath. Built with energy-efficient materials, the 2038 is ideal for comfortable and luxurious living.</t>
  </si>
  <si>
    <t xml:space="preserve">Columbia River 1007</t>
  </si>
  <si>
    <t xml:space="preserve">mar-columbia-river-1007</t>
  </si>
  <si>
    <t xml:space="preserve">1007</t>
  </si>
  <si>
    <t xml:space="preserve">15' x 56'</t>
  </si>
  <si>
    <t xml:space="preserve">https://raw.githubusercontent.com/CadelMVH/Wix-Gallery-Downloads/main/CR/1007.pdf</t>
  </si>
  <si>
    <t xml:space="preserve">https://static.wixstatic.com/media/866235_8f119985c2d64ec0bd43844f122f976d~mv2.webp</t>
  </si>
  <si>
    <t xml:space="preserve">https://static.wixstatic.com/media/866235_8f119985c2d64ec0bd43844f122f976d~mv2.webp; https://static.wixstatic.com/media/866235_0f6d3d51a1974bed9256dae59b826ccf~mv2.webp; https://static.wixstatic.com/media/866235_e8067b8b7b2c4f358af9d3f78970fa5d~mv2.webp</t>
  </si>
  <si>
    <t xml:space="preserve">The 1007 built by Clayton West Hermiston is a beautifully crafted home featuring 2 bedrooms, 2 bathrooms, and 720 sq. ft. of living space. The open floor plan seamlessly connects the living room, kitchen, and dining area. The master suite offers a private retreat with a walk-in closet and ensuite bath. Built with energy-efficient materials and high-end finishes, the 1007 is perfect for modern living.</t>
  </si>
  <si>
    <t xml:space="preserve">Columbia River 2029</t>
  </si>
  <si>
    <t xml:space="preserve">mar-columbia-river-2029</t>
  </si>
  <si>
    <t xml:space="preserve">2029</t>
  </si>
  <si>
    <t xml:space="preserve">24' x 36'</t>
  </si>
  <si>
    <t xml:space="preserve">https://raw.githubusercontent.com/CadelMVH/Wix-Gallery-Downloads/main/CR/2029.pdf</t>
  </si>
  <si>
    <t xml:space="preserve">https://my.matterport.com/show/?m=P9747jQ2KqY</t>
  </si>
  <si>
    <t xml:space="preserve">https://static.wixstatic.com/media/866235_df89e1f8e2004531a8d10ab1a0a7bc17~mv2.webp</t>
  </si>
  <si>
    <t xml:space="preserve">https://static.wixstatic.com/media/866235_df89e1f8e2004531a8d10ab1a0a7bc17~mv2.webp; https://static.wixstatic.com/media/866235_459ac2a33bf44e9eba12e59f6c0d4c29~mv2.webp; https://static.wixstatic.com/media/866235_58e2e34911fc4b4ea20158a58abc0bcf~mv2.png; https://static.wixstatic.com/media/866235_711defebb1ea44fb9b4671bbf36f902e~mv2.png; https://static.wixstatic.com/media/866235_f0b299685d9641c6a1cf02b1c59a9661~mv2.png; https://static.wixstatic.com/media/866235_d923200a8f014a91b43f8b9f4182843b~mv2.png; https://static.wixstatic.com/media/866235_8171af6307474d28a8d69cf9b4d88538~mv2.png; https://static.wixstatic.com/media/866235_8e699366ba27462589420bbafac2101f~mv2.png; https://static.wixstatic.com/media/866235_32b354f11a764d75bad75e73bb722382~mv2.webp; https://static.wixstatic.com/media/866235_0023df0fd583402b931599696319960b~mv2.jpg</t>
  </si>
  <si>
    <t xml:space="preserve">The 2029 built by Clayton West Hermiston is a well-designed home featuring 2 bedrooms, 2 bathrooms, and 864 sq. ft. of living space. The open-concept design creates a seamless flow between the living, dining, and kitchen areas. The master suite includes a spa-like ensuite bath and a walk-in closet. With energy-efficient construction and modern aesthetics, the 2029 is a perfect blend of comfort and sophistication.</t>
  </si>
  <si>
    <t xml:space="preserve">Columbia River 1008</t>
  </si>
  <si>
    <t xml:space="preserve">mar-columbia-river-1008</t>
  </si>
  <si>
    <t xml:space="preserve">1008</t>
  </si>
  <si>
    <t xml:space="preserve">15' x 60</t>
  </si>
  <si>
    <t xml:space="preserve">https://raw.githubusercontent.com/CadelMVH/Wix-Gallery-Downloads/main/CR/1008.pdf</t>
  </si>
  <si>
    <t xml:space="preserve">https://static.wixstatic.com/media/866235_c4f26aacff8b4e448167a261cfb41079~mv2.webp</t>
  </si>
  <si>
    <t xml:space="preserve">https://static.wixstatic.com/media/866235_c4f26aacff8b4e448167a261cfb41079~mv2.webp; https://static.wixstatic.com/media/866235_40205d64d465419ea55ccbf6d8d9b997~mv2.webp</t>
  </si>
  <si>
    <t xml:space="preserve">The 1008 built by Clayton West Hermiston is a well-appointed home featuring 3 bedrooms, 2 bathrooms, and 900 sq. ft. of living space. The open layout provides a seamless flow between the living, dining, and kitchen areas. The master suite includes a luxurious ensuite bath and a spacious walk-in closet. Designed for energy efficiency and comfort, the 1008 offers modern living at its best.</t>
  </si>
  <si>
    <t xml:space="preserve">Columbia River 1009</t>
  </si>
  <si>
    <t xml:space="preserve">mar-columbia-river-1009</t>
  </si>
  <si>
    <t xml:space="preserve">1009</t>
  </si>
  <si>
    <t xml:space="preserve">15' x 66'</t>
  </si>
  <si>
    <t xml:space="preserve">https://raw.githubusercontent.com/CadelMVH/Wix-Gallery-Downloads/main/CR/1009.pdf</t>
  </si>
  <si>
    <t xml:space="preserve">https://static.wixstatic.com/media/866235_a6d638d2b7f041bd853bc045a8072082~mv2.webp</t>
  </si>
  <si>
    <t xml:space="preserve">https://static.wixstatic.com/media/866235_a6d638d2b7f041bd853bc045a8072082~mv2.webp; https://static.wixstatic.com/media/866235_5238ddab954243c498efa3d7d83d2cc3~mv2.webp</t>
  </si>
  <si>
    <t xml:space="preserve">The 1009 built by Clayton West Hermiston is a thoughtfully designed home featuring 3 bedrooms, 2 bathrooms, and 990 sq. ft. of living space. The open floor plan enhances functionality, with a spacious living room and a modern kitchen. The master suite includes a private bath and walk-in closet. Built with energy-efficient materials, the 1009 is a stylish and practical choice for contemporary living.</t>
  </si>
  <si>
    <t xml:space="preserve">Columbia River 2036</t>
  </si>
  <si>
    <t xml:space="preserve">mar-columbia-river-2036</t>
  </si>
  <si>
    <t xml:space="preserve">2036</t>
  </si>
  <si>
    <t xml:space="preserve">24' x 44'</t>
  </si>
  <si>
    <t xml:space="preserve">https://raw.githubusercontent.com/CadelMVH/Wix-Gallery-Downloads/main/CR/2036.pdf</t>
  </si>
  <si>
    <t xml:space="preserve">https://static.wixstatic.com/media/866235_4e547efdf5574c1ea2174b01f7191a5a~mv2.webp</t>
  </si>
  <si>
    <t xml:space="preserve">https://static.wixstatic.com/media/866235_4e547efdf5574c1ea2174b01f7191a5a~mv2.webp; https://static.wixstatic.com/media/866235_f06320d3051e4a78a9abfb3e32d040f6~mv2.webp; https://static.wixstatic.com/media/866235_367a1c7f7eb645329d391437d51041af~mv2.webp</t>
  </si>
  <si>
    <t xml:space="preserve">The 2036 built by Clayton West Hermiston is a beautifully designed home featuring 3 bedrooms, 2 bathrooms, and 1,056 sq. ft. of living space. The open-concept layout maximizes natural light and flow between the living room, kitchen, and dining area. The master suite offers a spa-like ensuite bath and a spacious walk-in closet. Built with high-quality materials and energy-efficient construction, the 2036 is an excellent choice for contemporary living.</t>
  </si>
  <si>
    <t xml:space="preserve">Columbia River 1010</t>
  </si>
  <si>
    <t xml:space="preserve">mar-columbia-river-1010</t>
  </si>
  <si>
    <t xml:space="preserve">1010</t>
  </si>
  <si>
    <t xml:space="preserve">15' x 72'</t>
  </si>
  <si>
    <t xml:space="preserve">https://raw.githubusercontent.com/CadelMVH/Wix-Gallery-Downloads/main/CR/1010.pdf</t>
  </si>
  <si>
    <t xml:space="preserve">https://static.wixstatic.com/media/866235_a60443c9985b41539dadbfff452760a8~mv2.webp</t>
  </si>
  <si>
    <t xml:space="preserve">https://static.wixstatic.com/media/866235_a60443c9985b41539dadbfff452760a8~mv2.webp; https://static.wixstatic.com/media/866235_56978eb8de624786a446ef6db62326cd~mv2.webp</t>
  </si>
  <si>
    <t xml:space="preserve">The 1010 built by Clayton West Hermiston is a spacious single-wide home featuring 3 bedrooms, 2 bathrooms, and 1,020 sq. ft. of living space. The open layout creates a welcoming atmosphere, with a well-equipped kitchen and a comfortable living room. The master suite offers a private retreat with an ensuite bath and walk-in closet. Designed for modern convenience and energy efficiency, the 1010 is an excellent choice for stylish, affordable living.</t>
  </si>
  <si>
    <t xml:space="preserve">Columbia River 2015</t>
  </si>
  <si>
    <t xml:space="preserve">mar-columbia-river-2015</t>
  </si>
  <si>
    <t xml:space="preserve">2015</t>
  </si>
  <si>
    <t xml:space="preserve">26' 8" x 44'</t>
  </si>
  <si>
    <t xml:space="preserve">https://raw.githubusercontent.com/CadelMVH/Wix-Gallery-Downloads/main/CR/2015.pdf</t>
  </si>
  <si>
    <t xml:space="preserve">https://static.wixstatic.com/media/866235_4ddb1bc366f14061be7ddc814fad7ac2~mv2.webp</t>
  </si>
  <si>
    <t xml:space="preserve">https://static.wixstatic.com/media/866235_4ddb1bc366f14061be7ddc814fad7ac2~mv2.webp; https://static.wixstatic.com/media/866235_1bd0c1b154d24690b379d340fd778c3b~mv2.webp; https://static.wixstatic.com/media/866235_7cb525fdcb764389b4f6fa8bc7d4dd79~mv2.webp</t>
  </si>
  <si>
    <t xml:space="preserve">Surprisingly spacious smaller affordable family home features a large living room opening to a well planned kitchen/dining room with a large optional center multi-purpose island; utility/laundry room at rear door exit; king size guest bedrooms with easy access to roomy second bathroom.</t>
  </si>
  <si>
    <t xml:space="preserve">Columbia River 2017</t>
  </si>
  <si>
    <t xml:space="preserve">mar-columbia-river-2017</t>
  </si>
  <si>
    <t xml:space="preserve">2017</t>
  </si>
  <si>
    <t xml:space="preserve">26' 8" x 48'</t>
  </si>
  <si>
    <t xml:space="preserve">https://raw.githubusercontent.com/CadelMVH/Wix-Gallery-Downloads/main/CR/2017.pdf</t>
  </si>
  <si>
    <t xml:space="preserve">https://my.matterport.com/show/?play=1&amp;m=2x2j67hzTCR</t>
  </si>
  <si>
    <t xml:space="preserve">https://static.wixstatic.com/media/866235_f467cf808e764ed7b62027b7cc0229fb~mv2.webp</t>
  </si>
  <si>
    <t xml:space="preserve">https://static.wixstatic.com/media/866235_f467cf808e764ed7b62027b7cc0229fb~mv2.webp; https://static.wixstatic.com/media/866235_7d3996af975c4bd4a4ee1d7ec28465b8~mv2.webp; https://static.wixstatic.com/media/866235_6e3921564bbc4917bff2ebb9a1c11cc2~mv2.webp; https://static.wixstatic.com/media/866235_acf923dd97f641fd98a7c3deb10e09f1~mv2.webp; https://static.wixstatic.com/media/866235_5befcadd84fa4fa09ce65954d616a38a~mv2.webp</t>
  </si>
  <si>
    <t xml:space="preserve">Affordable customizable family home available with fully integrated covered porch ideal for indoor/outdoor casual dining and relaxation, optional den in-lieu of third bedroom and upgrade master bath with large oval platform soaking tub, separate stall shower and dual “his” and “hers” dual sink vanities. Spacious living room opens to bright modern kitchen with access to utility/laundry room; large secondary bedrooms and well located guest bath.</t>
  </si>
  <si>
    <t xml:space="preserve">Columbia River 2019</t>
  </si>
  <si>
    <t xml:space="preserve">mar-columbia-river-2019</t>
  </si>
  <si>
    <t xml:space="preserve">2019</t>
  </si>
  <si>
    <t xml:space="preserve">https://raw.githubusercontent.com/CadelMVH/Wix-Gallery-Downloads/main/CR/2019.pdf</t>
  </si>
  <si>
    <t xml:space="preserve">https://static.wixstatic.com/media/866235_5bf0bba5aa3d45559e057110fc9a719e~mv2.webp</t>
  </si>
  <si>
    <t xml:space="preserve">https://static.wixstatic.com/media/866235_5bf0bba5aa3d45559e057110fc9a719e~mv2.webp; https://static.wixstatic.com/media/866235_6531330989b940189ed0a27c19a80030~mv2.webp; https://static.wixstatic.com/media/866235_0c9c12515e5241ed8bc1ffca0b9885b3~mv2.webp</t>
  </si>
  <si>
    <t xml:space="preserve">Value oriented smaller double section with big home features and conveniences including spacious living room, beautiful kitchen with bright morning room; privately located master bedroom and in suite bath; king size guest bedrooms and easy access second bathroom.</t>
  </si>
  <si>
    <t xml:space="preserve">Columbia River 2030</t>
  </si>
  <si>
    <t xml:space="preserve">mar-columbia-river-2030</t>
  </si>
  <si>
    <t xml:space="preserve">2030</t>
  </si>
  <si>
    <t xml:space="preserve">https://raw.githubusercontent.com/CadelMVH/Wix-Gallery-Downloads/main/CR/2030.pdf</t>
  </si>
  <si>
    <t xml:space="preserve">https://static.wixstatic.com/media/866235_156e59f496484c9792c38e9d763d2047~mv2.webp</t>
  </si>
  <si>
    <t xml:space="preserve">https://static.wixstatic.com/media/866235_156e59f496484c9792c38e9d763d2047~mv2.webp; https://static.wixstatic.com/media/866235_4f2d9b3dbd3e4f7895a10265ee339418~mv2.webp</t>
  </si>
  <si>
    <t xml:space="preserve">The 2030 built by Clayton West Hermiston is a beautifully crafted home featuring 3 bedrooms, 2 bathrooms, and 1,280 sq. ft. of living space. The open floor plan allows for effortless flow between the main living areas. The master suite provides a private retreat with a spacious walk-in closet and ensuite bath. Built with high-quality craftsmanship and energy-efficient materials, the 2030 is an exceptional choice for modern living.</t>
  </si>
  <si>
    <t xml:space="preserve">Columbia River 2031</t>
  </si>
  <si>
    <t xml:space="preserve">mar-columbia-river-2031</t>
  </si>
  <si>
    <t xml:space="preserve">2031</t>
  </si>
  <si>
    <t xml:space="preserve">https://raw.githubusercontent.com/CadelMVH/Wix-Gallery-Downloads/main/CR/2031.pdf</t>
  </si>
  <si>
    <t xml:space="preserve">https://static.wixstatic.com/media/866235_f53fdc77b97f417b932f65f9fa2b7ada~mv2.webp</t>
  </si>
  <si>
    <t xml:space="preserve">https://static.wixstatic.com/media/866235_f53fdc77b97f417b932f65f9fa2b7ada~mv2.webp; https://static.wixstatic.com/media/866235_7bbdbefabc1b41e98882ddad58595b51~mv2.webp</t>
  </si>
  <si>
    <t xml:space="preserve">The 2031 built by Clayton West Hermiston is a thoughtfully designed home featuring 3 bedrooms, 2 bathrooms, and 1,280 sq. ft. of living space. The open layout connects the spacious living area, kitchen, and dining space for a welcoming feel. The master suite offers a private bath and a large walk-in closet. Built with energy-efficient materials, the 2031 is ideal for those seeking style and practicality.</t>
  </si>
  <si>
    <t xml:space="preserve">Columbia River 2037</t>
  </si>
  <si>
    <t xml:space="preserve">mar-columbia-river-2037</t>
  </si>
  <si>
    <t xml:space="preserve">2037</t>
  </si>
  <si>
    <t xml:space="preserve">24' x 56'</t>
  </si>
  <si>
    <t xml:space="preserve">https://raw.githubusercontent.com/CadelMVH/Wix-Gallery-Downloads/main/CR/2037.pdf</t>
  </si>
  <si>
    <t xml:space="preserve">https://static.wixstatic.com/media/866235_ad8f9d42d8f8490b9d5bb77f3ba9c48d~mv2.webp</t>
  </si>
  <si>
    <t xml:space="preserve">https://static.wixstatic.com/media/866235_ad8f9d42d8f8490b9d5bb77f3ba9c48d~mv2.webp; https://static.wixstatic.com/media/866235_7143b8c143164ca2b4234a3e720f438f~mv2.webp</t>
  </si>
  <si>
    <t xml:space="preserve">The 2037 built by Clayton West Hermiston is a spacious and inviting home featuring 3 bedrooms, 2 bathrooms, and 1,344 sq. ft. of living space. The open floor plan provides an effortless connection between the living, dining, and kitchen areas. The master suite features a luxurious ensuite bath and a walk-in closet. With energy-efficient design and modern craftsmanship, the 2037 offers the perfect combination of style and functionality.</t>
  </si>
  <si>
    <t xml:space="preserve">Columbia River 2021</t>
  </si>
  <si>
    <t xml:space="preserve">mar-columbia-river-2021</t>
  </si>
  <si>
    <t xml:space="preserve">2021</t>
  </si>
  <si>
    <t xml:space="preserve">26' 8" x 56'</t>
  </si>
  <si>
    <t xml:space="preserve">https://raw.githubusercontent.com/CadelMVH/Wix-Gallery-Downloads/main/CR/2021.pdf</t>
  </si>
  <si>
    <t xml:space="preserve">https://static.wixstatic.com/media/866235_d6b52d9d3a784472bf05a2066e5bd4fd~mv2.webp</t>
  </si>
  <si>
    <t xml:space="preserve">https://static.wixstatic.com/media/866235_d6b52d9d3a784472bf05a2066e5bd4fd~mv2.webp; https://static.wixstatic.com/media/866235_3d570307d1ea4e788b811bc6bbfd6c6a~mv2.webp; https://static.wixstatic.com/media/866235_f5d419fca28640e79ba2c4bddae34011~mv2.webp</t>
  </si>
  <si>
    <t xml:space="preserve">Quality affordable family home available with optional fully integrated covered porch, ideal for relaxation and casual dining; spacious living room opens to dining room and kitchen featuring large semi-circular multi-purpose workstation/,serving bar/snack bar/gathering bar; large master bedroom with ensuite, king size guest bedrooms and easy access second bathroom; home available with study off living room in-lieu of third bedroom.</t>
  </si>
  <si>
    <t xml:space="preserve">Columbia River 2022</t>
  </si>
  <si>
    <t xml:space="preserve">mar-columbia-river-2022</t>
  </si>
  <si>
    <t xml:space="preserve">2022</t>
  </si>
  <si>
    <t xml:space="preserve">https://raw.githubusercontent.com/CadelMVH/Wix-Gallery-Downloads/main/CR/2022.pdf</t>
  </si>
  <si>
    <t xml:space="preserve">https://my.matterport.com/show/?play=1&amp;m=tiab2vCfpyE</t>
  </si>
  <si>
    <t xml:space="preserve">https://static.wixstatic.com/media/866235_a0af73381d814e1fa345a1edd31b072d~mv2.jpg</t>
  </si>
  <si>
    <t xml:space="preserve">https://static.wixstatic.com/media/866235_a0af73381d814e1fa345a1edd31b072d~mv2.jpg; https://static.wixstatic.com/media/866235_8d925304a7c547868c017bd64c756fe3~mv2.webp; https://static.wixstatic.com/media/866235_f90cce1633f54301b6d8be2742550b7b~mv2.webp; https://static.wixstatic.com/media/866235_44ee04c17f4542fbafcd1c7408797ce8~mv2.jpg; https://static.wixstatic.com/media/866235_ea29a5d61f294613b499fb7fd45a66af~mv2.jpg; https://static.wixstatic.com/media/866235_e2a2414ea4f44e24b9907a13974cac0a~mv2.jpg; https://static.wixstatic.com/media/866235_dface5fc0a354210912a9f3161bfce9f~mv2.jpg; https://static.wixstatic.com/media/866235_44843230c23b4edc9546538f293898d8~mv2.jpg</t>
  </si>
  <si>
    <t xml:space="preserve">Homeowner preferred family floor plan with master bedroom suite privately located away from guest bedrooms at the opposite end of home with spacious living room, beautiful island kitchen, dining room and family room at center of floor plan, minimizing wasted hallway space while maximizing living space. Specifications</t>
  </si>
  <si>
    <t xml:space="preserve">Columbia River 2023</t>
  </si>
  <si>
    <t xml:space="preserve">mar-columbia-river-2023</t>
  </si>
  <si>
    <t xml:space="preserve">2023</t>
  </si>
  <si>
    <t xml:space="preserve">https://raw.githubusercontent.com/CadelMVH/Wix-Gallery-Downloads/main/CR/2023.pdf</t>
  </si>
  <si>
    <t xml:space="preserve">https://my.matterport.com/show/?play=1&amp;m=Kz6t3R9fUnF</t>
  </si>
  <si>
    <t xml:space="preserve">https://static.wixstatic.com/media/866235_31247637db4d45688e1fc103ce25a8dc~mv2.webp</t>
  </si>
  <si>
    <t xml:space="preserve">https://static.wixstatic.com/media/866235_31247637db4d45688e1fc103ce25a8dc~mv2.webp; https://static.wixstatic.com/media/866235_30aaf57d093945a48cdae347e6a9f7e6~mv2.webp; https://static.wixstatic.com/media/866235_6a5d77451e9343fe98466d2d3bc1f3b7~mv2.webp</t>
  </si>
  <si>
    <t xml:space="preserve">Well designed quality midsize dual section home features spacious living room open to large bright modern island kitchen and dining area; privately located master bedroom and ensuite bath with dual sink option and extra large walk-in closet; king size secondary bedrooms with easy access to guest bath; large well equipped multi-purpose utility/laundry room located at rear exit door.</t>
  </si>
  <si>
    <t xml:space="preserve">Columbia River 2032</t>
  </si>
  <si>
    <t xml:space="preserve">mar-columbia-river-2032</t>
  </si>
  <si>
    <t xml:space="preserve">2032</t>
  </si>
  <si>
    <t xml:space="preserve">https://raw.githubusercontent.com/CadelMVH/Wix-Gallery-Downloads/main/CR/2032.pdf</t>
  </si>
  <si>
    <t xml:space="preserve">https://static.wixstatic.com/media/866235_c03df63346b2402bb79cf36215a07e25~mv2.webp</t>
  </si>
  <si>
    <t xml:space="preserve">https://static.wixstatic.com/media/866235_c03df63346b2402bb79cf36215a07e25~mv2.webp; https://static.wixstatic.com/media/866235_482c1988b5d64572978e6dd5ed1f8ed6~mv2.webp</t>
  </si>
  <si>
    <t xml:space="preserve">The 2032 built by Clayton West Hermiston is a spacious and modern home featuring 3 bedrooms, 2 bathrooms, and 1,493 sq. ft. of living space. The open floor plan creates an inviting atmosphere, with a gourmet kitchen and a well-designed living room. The master suite offers a private retreat with a spa-like bath and a large walk-in closet. Designed for energy efficiency and contemporary living, the 2032 is a perfect home for families.</t>
  </si>
  <si>
    <t xml:space="preserve">Columbia River 2033</t>
  </si>
  <si>
    <t xml:space="preserve">mar-columbia-river-2033</t>
  </si>
  <si>
    <t xml:space="preserve">2033</t>
  </si>
  <si>
    <t xml:space="preserve">https://raw.githubusercontent.com/CadelMVH/Wix-Gallery-Downloads/main/CR/2033.pdf</t>
  </si>
  <si>
    <t xml:space="preserve">https://static.wixstatic.com/media/866235_496c16bc820d4e5da2ca8085cfb33868~mv2.webp</t>
  </si>
  <si>
    <t xml:space="preserve">https://static.wixstatic.com/media/866235_496c16bc820d4e5da2ca8085cfb33868~mv2.webp; https://static.wixstatic.com/media/866235_c0b4eacbe35b4a8d866377125f372d42~mv2.webp</t>
  </si>
  <si>
    <t xml:space="preserve">The 2033 built by Clayton West Hermiston is a spacious multi-section home featuring 3 bedrooms, 2 bathrooms, and 1,493 sq. ft. of living space. The open floor plan seamlessly connects the living room, kitchen, and dining area, creating a warm and inviting atmosphere. The master suite offers a private bath and a generous walk-in closet. Built with energy-efficient materials and high-quality craftsmanship, the 2033 is a perfect blend of comfort and functionality.</t>
  </si>
  <si>
    <t xml:space="preserve">Columbia River 2024</t>
  </si>
  <si>
    <t xml:space="preserve">mar-columbia-river-2024</t>
  </si>
  <si>
    <t xml:space="preserve">2024</t>
  </si>
  <si>
    <t xml:space="preserve">26' 8" x 60'</t>
  </si>
  <si>
    <t xml:space="preserve">https://raw.githubusercontent.com/CadelMVH/Wix-Gallery-Downloads/main/CR/2024.pdf</t>
  </si>
  <si>
    <t xml:space="preserve">https://static.wixstatic.com/media/866235_ab3ea7bdb4c24a9e802da2c94736f88c~mv2.webp</t>
  </si>
  <si>
    <t xml:space="preserve">https://static.wixstatic.com/media/866235_ab3ea7bdb4c24a9e802da2c94736f88c~mv2.webp; https://static.wixstatic.com/media/866235_c1d353abdb694bf396e48ce983913fb0~mv2.webp; https://static.wixstatic.com/media/866235_02f4fc74e642436082646b0d804c42f6~mv2.webp</t>
  </si>
  <si>
    <t xml:space="preserve">Quality built value oriented mid size family home features large rooms with easy traffic flow absence wasted hallway space featuring privately located large master bedroom and glamorous in suite bath available with luxury bath option; expansive open concept living room and large modern well equipped kitchen available with extra large pantry and optional island open to family size dining area; king size guest bedrooms with walk-in closets and easy access second bathroom.</t>
  </si>
  <si>
    <t xml:space="preserve">Columbia River 2034</t>
  </si>
  <si>
    <t xml:space="preserve">mar-columbia-river-2034</t>
  </si>
  <si>
    <t xml:space="preserve">2034</t>
  </si>
  <si>
    <t xml:space="preserve">https://raw.githubusercontent.com/CadelMVH/Wix-Gallery-Downloads/main/CR/2034.pdf</t>
  </si>
  <si>
    <t xml:space="preserve">https://static.wixstatic.com/media/866235_8a186eb04c724323ac2c185ab5e3fd98~mv2.webp</t>
  </si>
  <si>
    <t xml:space="preserve">https://static.wixstatic.com/media/866235_8a186eb04c724323ac2c185ab5e3fd98~mv2.webp; https://static.wixstatic.com/media/866235_7b6ac9666d2049e4b80d89428aaf3722~mv2.webp; https://static.wixstatic.com/media/866235_8bec307038504e29ba1dffb9cfa554cf~mv2.webp</t>
  </si>
  <si>
    <t xml:space="preserve">The 2034 built by Clayton West Hermiston is a thoughtfully designed home offering 3 bedrooms, 2 bathrooms, and 1,600 sq. ft. of living space. The open layout enhances the connection between the spacious living room, modern kitchen, and dining area. The master suite provides a private retreat with a luxurious ensuite bath and a large walk-in closet. Built with energy efficiency and high-end craftsmanship, the 2034 delivers modern living at its finest.</t>
  </si>
  <si>
    <t xml:space="preserve">Columbia River 2025</t>
  </si>
  <si>
    <t xml:space="preserve">mar-columbia-river-2025</t>
  </si>
  <si>
    <t xml:space="preserve">2025</t>
  </si>
  <si>
    <t xml:space="preserve">26' 8" x 68'</t>
  </si>
  <si>
    <t xml:space="preserve">https://raw.githubusercontent.com/CadelMVH/Wix-Gallery-Downloads/main/CR/2025.pdf</t>
  </si>
  <si>
    <t xml:space="preserve">Skillfully crafted spacious family home with several customizable optional features including deluxe master bath with oval soaking tub, stall shower and double sink vanities: standard plan features expansive living room open to beautiful modern kitchen and dining room open to large family room; secondary bedrooms all large with easy access to guest bath; private master bedroom with comforting retreat and luxurious ensuite.</t>
  </si>
  <si>
    <t xml:space="preserve">Columbia River 2035</t>
  </si>
  <si>
    <t xml:space="preserve">mar-columbia-river-2035</t>
  </si>
  <si>
    <t xml:space="preserve">2035</t>
  </si>
  <si>
    <t xml:space="preserve">https://raw.githubusercontent.com/CadelMVH/Wix-Gallery-Downloads/main/CR/2035.pdf</t>
  </si>
  <si>
    <t xml:space="preserve">https://static.wixstatic.com/media/866235_296b15a7e18b42f995d0f08a443e70a1~mv2.webp</t>
  </si>
  <si>
    <t xml:space="preserve">https://static.wixstatic.com/media/866235_296b15a7e18b42f995d0f08a443e70a1~mv2.webp; https://static.wixstatic.com/media/866235_2acdb488ea9a41a4bb0bee5db3f98769~mv2.webp; https://static.wixstatic.com/media/866235_730ae6c61e904b24b4998b6dee0cdfaa~mv2.webp</t>
  </si>
  <si>
    <t xml:space="preserve">The 2035 built by Clayton West Hermiston is a stylish and functional home featuring 4 bedrooms, 2 bathrooms, and 1,920 sq. ft. of living space. The expansive open floor plan includes a welcoming living area, a gourmet kitchen, and a dining space perfect for entertaining. The master suite boasts a private bath and a walk-in closet. Designed with energy-efficient materials and modern finishes, the 2035 offers both comfort and practicality.</t>
  </si>
  <si>
    <t xml:space="preserve">Columbia River 2028</t>
  </si>
  <si>
    <t xml:space="preserve">mar-columbia-river-2028</t>
  </si>
  <si>
    <t xml:space="preserve">2028</t>
  </si>
  <si>
    <t xml:space="preserve">30' x 70'</t>
  </si>
  <si>
    <t xml:space="preserve">https://raw.githubusercontent.com/CadelMVH/Wix-Gallery-Downloads/main/CR/2028.pdf</t>
  </si>
  <si>
    <t xml:space="preserve">https://static.wixstatic.com/media/866235_8ef28e209f6d4dcb820fc9b115a50aee~mv2.webp</t>
  </si>
  <si>
    <t xml:space="preserve">https://static.wixstatic.com/media/866235_8ef28e209f6d4dcb820fc9b115a50aee~mv2.webp; https://static.wixstatic.com/media/866235_eda1ba9d3f98414485d476417f80d04e~mv2.webp; https://static.wixstatic.com/media/866235_55b067cf6f324acc8ea1195360d47211~mv2.webp</t>
  </si>
  <si>
    <t xml:space="preserve">The 2028 built by Clayton West Hermiston is a spacious multi-section home featuring 4 bedrooms, 2 bathrooms, and 2,100 sq. ft. of living space. The open floor plan enhances flow between the large living room, gourmet kitchen, and dining area. The master suite offers a luxurious retreat with an ensuite bath and walk-in closet. Built with energy-efficient materials and high-quality finishes, the 2028 combines style and functionality.</t>
  </si>
  <si>
    <t xml:space="preserve">Columbia River 2029 Super</t>
  </si>
  <si>
    <t xml:space="preserve">mar-columbia-river-2029-super</t>
  </si>
  <si>
    <t xml:space="preserve">Super</t>
  </si>
  <si>
    <t xml:space="preserve">26' 8" x 36'</t>
  </si>
  <si>
    <t xml:space="preserve">hidden in store; missing bed/bath data</t>
  </si>
  <si>
    <t xml:space="preserve">Columbia River 2038 Super</t>
  </si>
  <si>
    <t xml:space="preserve">mar-columbia-river-2038-super</t>
  </si>
  <si>
    <t xml:space="preserve">24' x 44' / 41' 4"</t>
  </si>
  <si>
    <t xml:space="preserve">Columbia River 2037 Super</t>
  </si>
  <si>
    <t xml:space="preserve">mar-columbia-river-2037-super</t>
  </si>
  <si>
    <t xml:space="preserve">Columbia River 2017 Super</t>
  </si>
  <si>
    <t xml:space="preserve">mar-columbia-river-2017-super</t>
  </si>
  <si>
    <t xml:space="preserve">30' x  48'</t>
  </si>
  <si>
    <t xml:space="preserve">Columbia River 2019 Super</t>
  </si>
  <si>
    <t xml:space="preserve">mar-columbia-river-2019-super</t>
  </si>
  <si>
    <t xml:space="preserve">30' x 48'</t>
  </si>
  <si>
    <t xml:space="preserve">Columbia River 2031 Super</t>
  </si>
  <si>
    <t xml:space="preserve">mar-columbia-river-2031-super</t>
  </si>
  <si>
    <t xml:space="preserve">Columbia River 2021 Super</t>
  </si>
  <si>
    <t xml:space="preserve">mar-columbia-river-2021-super</t>
  </si>
  <si>
    <t xml:space="preserve">30' x 56'</t>
  </si>
  <si>
    <t xml:space="preserve">Columbia River 2022 Super</t>
  </si>
  <si>
    <t xml:space="preserve">mar-columbia-river-2022-super</t>
  </si>
  <si>
    <t xml:space="preserve">Columbia River 2023 Super</t>
  </si>
  <si>
    <t xml:space="preserve">mar-columbia-river-2023-super</t>
  </si>
  <si>
    <t xml:space="preserve">Columbia River 2024 Super</t>
  </si>
  <si>
    <t xml:space="preserve">mar-columbia-river-2024-super</t>
  </si>
  <si>
    <t xml:space="preserve">30' x 60'</t>
  </si>
  <si>
    <t xml:space="preserve">Columbia River 2034 Super</t>
  </si>
  <si>
    <t xml:space="preserve">mar-columbia-river-2034-super</t>
  </si>
  <si>
    <t xml:space="preserve">Columbia River 2025 Super</t>
  </si>
  <si>
    <t xml:space="preserve">mar-columbia-river-2025-super</t>
  </si>
  <si>
    <t xml:space="preserve">30' x 68'</t>
  </si>
  <si>
    <t xml:space="preserve">Columbia River 2035 Super</t>
  </si>
  <si>
    <t xml:space="preserve">mar-columbia-river-2035-super</t>
  </si>
  <si>
    <t xml:space="preserve">30' x 72'</t>
  </si>
  <si>
    <t xml:space="preserve">Imagine 5038</t>
  </si>
  <si>
    <t xml:space="preserve">mar-imagine-5038</t>
  </si>
  <si>
    <t xml:space="preserve">Imagine</t>
  </si>
  <si>
    <t xml:space="preserve">5038</t>
  </si>
  <si>
    <t xml:space="preserve">19' 8" x 44'/ 41' 4"</t>
  </si>
  <si>
    <t xml:space="preserve">https://raw.githubusercontent.com/CadelMVH/Wix-Gallery-Downloads/main/Imagine/5038.pdf</t>
  </si>
  <si>
    <t xml:space="preserve">https://momento360.com/e/uc/bf08fdeb310d4a1996f01686e98407b6</t>
  </si>
  <si>
    <t xml:space="preserve">https://static.wixstatic.com/media/866235_60e25bc3cc2d47b8bf57f4ce10aed808~mv2.webp</t>
  </si>
  <si>
    <t xml:space="preserve">https://static.wixstatic.com/media/866235_60e25bc3cc2d47b8bf57f4ce10aed808~mv2.webp; https://static.wixstatic.com/media/866235_c46cc1a5d60745d794e1851419402f2d~mv2.webp; https://static.wixstatic.com/media/866235_b8295e93cdf44573956b945984143442~mv2.webp</t>
  </si>
  <si>
    <t xml:space="preserve">Imagine 5029</t>
  </si>
  <si>
    <t xml:space="preserve">mar-imagine-5029</t>
  </si>
  <si>
    <t xml:space="preserve">5029</t>
  </si>
  <si>
    <t xml:space="preserve">https://raw.githubusercontent.com/CadelMVH/Wix-Gallery-Downloads/main/Imagine/5029.pdf</t>
  </si>
  <si>
    <t xml:space="preserve">https://static.wixstatic.com/media/866235_dcc7d0610fbe4c64b16e7639ffc9923a~mv2.webp</t>
  </si>
  <si>
    <t xml:space="preserve">https://static.wixstatic.com/media/866235_dcc7d0610fbe4c64b16e7639ffc9923a~mv2.webp; https://static.wixstatic.com/media/866235_356c1e8d086a41d4af41552e5d25f7aa~mv2.webp</t>
  </si>
  <si>
    <t xml:space="preserve">Imagine 5036</t>
  </si>
  <si>
    <t xml:space="preserve">mar-imagine-5036</t>
  </si>
  <si>
    <t xml:space="preserve">5036</t>
  </si>
  <si>
    <t xml:space="preserve">https://raw.githubusercontent.com/CadelMVH/Wix-Gallery-Downloads/main/Imagine/5036.pdf</t>
  </si>
  <si>
    <t xml:space="preserve">https://static.wixstatic.com/media/866235_97460e42697d4a7294fe918af541d3fd~mv2.webp</t>
  </si>
  <si>
    <t xml:space="preserve">https://static.wixstatic.com/media/866235_97460e42697d4a7294fe918af541d3fd~mv2.webp; https://static.wixstatic.com/media/866235_001fcb58280d4e6db4952abb97a37bf2~mv2.webp</t>
  </si>
  <si>
    <t xml:space="preserve">Imagine 5015</t>
  </si>
  <si>
    <t xml:space="preserve">mar-imagine-5015</t>
  </si>
  <si>
    <t xml:space="preserve">5015</t>
  </si>
  <si>
    <t xml:space="preserve">https://raw.githubusercontent.com/CadelMVH/Wix-Gallery-Downloads/main/Imagine/5015.pdf</t>
  </si>
  <si>
    <t xml:space="preserve">https://static.wixstatic.com/media/866235_e4072cd5bd3f41da8e3c9b7de155cb8a~mv2.webp</t>
  </si>
  <si>
    <t xml:space="preserve">https://static.wixstatic.com/media/866235_e4072cd5bd3f41da8e3c9b7de155cb8a~mv2.webp; https://static.wixstatic.com/media/866235_317cb2a0ffc94c4baa0645a7b5dadc4b~mv2.webp</t>
  </si>
  <si>
    <t xml:space="preserve">Imagine 5017</t>
  </si>
  <si>
    <t xml:space="preserve">mar-imagine-5017</t>
  </si>
  <si>
    <t xml:space="preserve">5017</t>
  </si>
  <si>
    <t xml:space="preserve">https://raw.githubusercontent.com/CadelMVH/Wix-Gallery-Downloads/main/Imagine/5017.pdf</t>
  </si>
  <si>
    <t xml:space="preserve">https://static.wixstatic.com/media/866235_35d1d4f52f704ef7ac0144b9d0ecfd36~mv2.webp</t>
  </si>
  <si>
    <t xml:space="preserve">https://static.wixstatic.com/media/866235_35d1d4f52f704ef7ac0144b9d0ecfd36~mv2.webp; https://static.wixstatic.com/media/866235_27961e6322e549a0b5cca3580a1d84df~mv2.webp</t>
  </si>
  <si>
    <t xml:space="preserve">Imagine 5019</t>
  </si>
  <si>
    <t xml:space="preserve">mar-imagine-5019</t>
  </si>
  <si>
    <t xml:space="preserve">5019</t>
  </si>
  <si>
    <t xml:space="preserve">https://raw.githubusercontent.com/CadelMVH/Wix-Gallery-Downloads/main/Imagine/5019.pdf</t>
  </si>
  <si>
    <t xml:space="preserve">Imagine 5030</t>
  </si>
  <si>
    <t xml:space="preserve">mar-imagine-5030</t>
  </si>
  <si>
    <t xml:space="preserve">5030</t>
  </si>
  <si>
    <t xml:space="preserve">https://raw.githubusercontent.com/CadelMVH/Wix-Gallery-Downloads/main/Imagine/5030.pdf</t>
  </si>
  <si>
    <t xml:space="preserve">https://static.wixstatic.com/media/866235_408a269d83924fa082678b8f8739f15e~mv2.webp</t>
  </si>
  <si>
    <t xml:space="preserve">https://static.wixstatic.com/media/866235_408a269d83924fa082678b8f8739f15e~mv2.webp; https://static.wixstatic.com/media/866235_47c0c74a690b43578cf5648b79d9fd36~mv2.webp</t>
  </si>
  <si>
    <t xml:space="preserve">Imagine 5031</t>
  </si>
  <si>
    <t xml:space="preserve">mar-imagine-5031</t>
  </si>
  <si>
    <t xml:space="preserve">5031</t>
  </si>
  <si>
    <t xml:space="preserve">https://raw.githubusercontent.com/CadelMVH/Wix-Gallery-Downloads/main/Imagine/5031.pdf</t>
  </si>
  <si>
    <t xml:space="preserve">https://static.wixstatic.com/media/866235_36f5aece2617480fbceb1acfb6f2917e~mv2.webp</t>
  </si>
  <si>
    <t xml:space="preserve">https://static.wixstatic.com/media/866235_36f5aece2617480fbceb1acfb6f2917e~mv2.webp; https://static.wixstatic.com/media/866235_a3852e4850404dacba8205b6bcb99318~mv2.webp</t>
  </si>
  <si>
    <t xml:space="preserve">Imagine 5037</t>
  </si>
  <si>
    <t xml:space="preserve">mar-imagine-5037</t>
  </si>
  <si>
    <t xml:space="preserve">5037</t>
  </si>
  <si>
    <t xml:space="preserve">https://raw.githubusercontent.com/CadelMVH/Wix-Gallery-Downloads/main/Imagine/5037.pdf</t>
  </si>
  <si>
    <t xml:space="preserve">https://static.wixstatic.com/media/866235_9f80161c2d144850b8878129a0770648~mv2.webp</t>
  </si>
  <si>
    <t xml:space="preserve">https://static.wixstatic.com/media/866235_9f80161c2d144850b8878129a0770648~mv2.webp; https://static.wixstatic.com/media/866235_a376011ec5dc4943bf280d06bf4c51ca~mv2.webp</t>
  </si>
  <si>
    <t xml:space="preserve">Imagine 5021</t>
  </si>
  <si>
    <t xml:space="preserve">mar-imagine-5021</t>
  </si>
  <si>
    <t xml:space="preserve">5021</t>
  </si>
  <si>
    <t xml:space="preserve">https://raw.githubusercontent.com/CadelMVH/Wix-Gallery-Downloads/main/Imagine/5021.pdf</t>
  </si>
  <si>
    <t xml:space="preserve">https://static.wixstatic.com/media/866235_8500fcc9da69451d92bd5d7612d3bfaa~mv2.webp</t>
  </si>
  <si>
    <t xml:space="preserve">https://static.wixstatic.com/media/866235_8500fcc9da69451d92bd5d7612d3bfaa~mv2.webp; https://static.wixstatic.com/media/866235_fd272fc5c03c4102a5640a0270e7179f~mv2.webp</t>
  </si>
  <si>
    <t xml:space="preserve">Imagine 5022</t>
  </si>
  <si>
    <t xml:space="preserve">mar-imagine-5022</t>
  </si>
  <si>
    <t xml:space="preserve">5022</t>
  </si>
  <si>
    <t xml:space="preserve">https://raw.githubusercontent.com/CadelMVH/Wix-Gallery-Downloads/main/Imagine/5022.pdf</t>
  </si>
  <si>
    <t xml:space="preserve">https://static.wixstatic.com/media/866235_54a0431610d74ffe95723c8f2cb19e7f~mv2.webp</t>
  </si>
  <si>
    <t xml:space="preserve">https://static.wixstatic.com/media/866235_54a0431610d74ffe95723c8f2cb19e7f~mv2.webp; https://static.wixstatic.com/media/866235_54ad999e6e4549f29115f60c549b7f71~mv2.webp</t>
  </si>
  <si>
    <t xml:space="preserve">Imagine 5023</t>
  </si>
  <si>
    <t xml:space="preserve">mar-imagine-5023</t>
  </si>
  <si>
    <t xml:space="preserve">5023</t>
  </si>
  <si>
    <t xml:space="preserve">https://raw.githubusercontent.com/CadelMVH/Wix-Gallery-Downloads/main/Imagine/5023.pdf</t>
  </si>
  <si>
    <t xml:space="preserve">https://static.wixstatic.com/media/866235_5665db28b4cf4edb94efdba10765ec17~mv2.webp</t>
  </si>
  <si>
    <t xml:space="preserve">https://static.wixstatic.com/media/866235_5665db28b4cf4edb94efdba10765ec17~mv2.webp; https://static.wixstatic.com/media/866235_1f40fab97f994eb4a4fa0e7a389d8045~mv2.webp</t>
  </si>
  <si>
    <t xml:space="preserve">Imagine 5032</t>
  </si>
  <si>
    <t xml:space="preserve">mar-imagine-5032</t>
  </si>
  <si>
    <t xml:space="preserve">5032</t>
  </si>
  <si>
    <t xml:space="preserve">https://raw.githubusercontent.com/CadelMVH/Wix-Gallery-Downloads/main/Imagine/5032.pdf</t>
  </si>
  <si>
    <t xml:space="preserve">https://static.wixstatic.com/media/866235_ffdc6673971a429db61708c1d4150d91~mv2.webp</t>
  </si>
  <si>
    <t xml:space="preserve">https://static.wixstatic.com/media/866235_ffdc6673971a429db61708c1d4150d91~mv2.webp; https://static.wixstatic.com/media/866235_c057a5ef0b714e718e1c2b7834bf4e30~mv2.webp</t>
  </si>
  <si>
    <t xml:space="preserve">Imagine 5033</t>
  </si>
  <si>
    <t xml:space="preserve">mar-imagine-5033</t>
  </si>
  <si>
    <t xml:space="preserve">5033</t>
  </si>
  <si>
    <t xml:space="preserve">https://raw.githubusercontent.com/CadelMVH/Wix-Gallery-Downloads/main/Imagine/5033.pdf</t>
  </si>
  <si>
    <t xml:space="preserve">https://static.wixstatic.com/media/866235_6d3230ead2ca4631809a073f3a376f16~mv2.webp</t>
  </si>
  <si>
    <t xml:space="preserve">https://static.wixstatic.com/media/866235_6d3230ead2ca4631809a073f3a376f16~mv2.webp; https://static.wixstatic.com/media/866235_fa029e093f4741c1bee53082e9aa775e~mv2.webp</t>
  </si>
  <si>
    <t xml:space="preserve">Imagine 5024</t>
  </si>
  <si>
    <t xml:space="preserve">mar-imagine-5024</t>
  </si>
  <si>
    <t xml:space="preserve">5024</t>
  </si>
  <si>
    <t xml:space="preserve">https://raw.githubusercontent.com/CadelMVH/Wix-Gallery-Downloads/main/Imagine/5024.pdf</t>
  </si>
  <si>
    <t xml:space="preserve">https://static.wixstatic.com/media/866235_8324e5c859e948b1a981f0968fa3d409~mv2.webp</t>
  </si>
  <si>
    <t xml:space="preserve">https://static.wixstatic.com/media/866235_8324e5c859e948b1a981f0968fa3d409~mv2.webp; https://static.wixstatic.com/media/866235_67944f7a914b431e817e8d1979dd7fcd~mv2.webp</t>
  </si>
  <si>
    <t xml:space="preserve">Imagine 5034</t>
  </si>
  <si>
    <t xml:space="preserve">mar-imagine-5034</t>
  </si>
  <si>
    <t xml:space="preserve">5034</t>
  </si>
  <si>
    <t xml:space="preserve">https://raw.githubusercontent.com/CadelMVH/Wix-Gallery-Downloads/main/Imagine/5034.pdf</t>
  </si>
  <si>
    <t xml:space="preserve">https://static.wixstatic.com/media/866235_db4422113d7e4f8892c31be52eb6c8fd~mv2.webp</t>
  </si>
  <si>
    <t xml:space="preserve">https://static.wixstatic.com/media/866235_db4422113d7e4f8892c31be52eb6c8fd~mv2.webp; https://static.wixstatic.com/media/866235_cece58d08d984455bb70c68dca1dbe30~mv2.webp</t>
  </si>
  <si>
    <t xml:space="preserve">Imagine 5025</t>
  </si>
  <si>
    <t xml:space="preserve">mar-imagine-5025</t>
  </si>
  <si>
    <t xml:space="preserve">5025</t>
  </si>
  <si>
    <t xml:space="preserve">https://raw.githubusercontent.com/CadelMVH/Wix-Gallery-Downloads/main/Imagine/5025.pdf</t>
  </si>
  <si>
    <t xml:space="preserve">https://static.wixstatic.com/media/866235_f963f464d1364ef39dd036e7799441f8~mv2.webp</t>
  </si>
  <si>
    <t xml:space="preserve">https://static.wixstatic.com/media/866235_f963f464d1364ef39dd036e7799441f8~mv2.webp; https://static.wixstatic.com/media/866235_a229ac983c9c44ccad7a932c162845da~mv2.webp</t>
  </si>
  <si>
    <t xml:space="preserve">Imagine 5035</t>
  </si>
  <si>
    <t xml:space="preserve">mar-imagine-5035</t>
  </si>
  <si>
    <t xml:space="preserve">5035</t>
  </si>
  <si>
    <t xml:space="preserve">26' 8" x 72'</t>
  </si>
  <si>
    <t xml:space="preserve">https://raw.githubusercontent.com/CadelMVH/Wix-Gallery-Downloads/main/Imagine/5035.pdf</t>
  </si>
  <si>
    <t xml:space="preserve">https://static.wixstatic.com/media/866235_39fa7ebaf0af4cc3a8350e91983f03c5~mv2.webp</t>
  </si>
  <si>
    <t xml:space="preserve">https://static.wixstatic.com/media/866235_39fa7ebaf0af4cc3a8350e91983f03c5~mv2.webp; https://static.wixstatic.com/media/866235_2e6d57fc5f0d4671b128473247a6369f~mv2.webp</t>
  </si>
  <si>
    <t xml:space="preserve">Imagine 5028</t>
  </si>
  <si>
    <t xml:space="preserve">mar-imagine-5028</t>
  </si>
  <si>
    <t xml:space="preserve">5028</t>
  </si>
  <si>
    <t xml:space="preserve">https://raw.githubusercontent.com/CadelMVH/Wix-Gallery-Downloads/main/Imagine/5028.pdf</t>
  </si>
  <si>
    <t xml:space="preserve">https://static.wixstatic.com/media/866235_a145e1acb7cd41f991f23f79d505e606~mv2.webp</t>
  </si>
  <si>
    <t xml:space="preserve">Majestic 9600-S</t>
  </si>
  <si>
    <t xml:space="preserve">mar-majestic-9600</t>
  </si>
  <si>
    <t xml:space="preserve">Majestic</t>
  </si>
  <si>
    <t xml:space="preserve">9600-S</t>
  </si>
  <si>
    <t xml:space="preserve">https://raw.githubusercontent.com/CadelMVH/Wix-Gallery-Downloads/main/Majestic/9600-S.pdf</t>
  </si>
  <si>
    <t xml:space="preserve">https://static.wixstatic.com/media/866235_268a3b1b9a0648b2bc83fbac0d28159e~mv2.webp</t>
  </si>
  <si>
    <t xml:space="preserve">https://static.wixstatic.com/media/866235_268a3b1b9a0648b2bc83fbac0d28159e~mv2.webp; https://static.wixstatic.com/media/866235_d621a53ba5704e559291743649ce9901~mv2.webp</t>
  </si>
  <si>
    <t xml:space="preserve">The 9600-S built by Clayton West Hermiston is a spacious and elegantly designed home featuring 3 bedrooms, 2 bathrooms, and 1,276 sq. ft. of living space. The open floor plan seamlessly connects the living area, gourmet kitchen, and dining space, creating an inviting atmosphere. The master suite offers a private retreat with a spa-like ensuite bath and a large walk-in closet. Built with high-quality materials and energy-efficient features, the 9600-S blends comfort and modern design.</t>
  </si>
  <si>
    <t xml:space="preserve">Majestic 9590-S</t>
  </si>
  <si>
    <t xml:space="preserve">mar-majestic-9590</t>
  </si>
  <si>
    <t xml:space="preserve">9590-S</t>
  </si>
  <si>
    <t xml:space="preserve">26' 8" x 52'</t>
  </si>
  <si>
    <t xml:space="preserve">https://raw.githubusercontent.com/CadelMVH/Wix-Gallery-Downloads/main/Majestic/9590-S.pdf</t>
  </si>
  <si>
    <t xml:space="preserve">https://my.matterport.com/show/?play=1&amp;m=KoFoJy1tD99</t>
  </si>
  <si>
    <t xml:space="preserve">https://static.wixstatic.com/media/866235_66e4f54faaae4659aaea738f2432cbfd~mv2.webp</t>
  </si>
  <si>
    <t xml:space="preserve">https://static.wixstatic.com/media/866235_66e4f54faaae4659aaea738f2432cbfd~mv2.webp; https://static.wixstatic.com/media/866235_04d3e537dc1b409190d542df33f8cbe9~mv2.webp; https://static.wixstatic.com/media/866235_c4c87ab86e574f289179cd487fd4c2b6~mv2.webp</t>
  </si>
  <si>
    <t xml:space="preserve">Innovative midsize quality family home available with customizable options including covered porch, den in-lieu of third bedroom and deck tub in luxurious master bedroom ensuite; spacious living room, beautiful well equipped kitchen with peninsula snack/serving bar open to bright dining room.</t>
  </si>
  <si>
    <t xml:space="preserve">Majestic 9601-S</t>
  </si>
  <si>
    <t xml:space="preserve">mar-majestic-9601</t>
  </si>
  <si>
    <t xml:space="preserve">9601-S</t>
  </si>
  <si>
    <t xml:space="preserve">https://raw.githubusercontent.com/CadelMVH/Wix-Gallery-Downloads/main/Majestic/9601-S.pdf</t>
  </si>
  <si>
    <t xml:space="preserve">https://static.wixstatic.com/media/866235_ce2420fd27954c6097ad1cb16a4ded63~mv2.webp</t>
  </si>
  <si>
    <t xml:space="preserve">https://static.wixstatic.com/media/866235_ce2420fd27954c6097ad1cb16a4ded63~mv2.webp; https://static.wixstatic.com/media/866235_2a91a4fc077e4c158305366679d4c1f0~mv2.webp</t>
  </si>
  <si>
    <t xml:space="preserve">The 9601-S built by Clayton West Hermiston is a beautifully crafted home featuring 3 bedrooms, 2 bathrooms, and 1,596 sq. ft. of living space. The open-concept design enhances the spacious feel, connecting the living room, dining area, and modern kitchen. The master suite provides a luxurious retreat with a private bath and ample storage. Built for energy efficiency and long-lasting quality, the 9601-S delivers both style and functionality.</t>
  </si>
  <si>
    <t xml:space="preserve">Majestic 9602-S</t>
  </si>
  <si>
    <t xml:space="preserve">mar-majestic-9602</t>
  </si>
  <si>
    <t xml:space="preserve">9602-S</t>
  </si>
  <si>
    <t xml:space="preserve">https://raw.githubusercontent.com/CadelMVH/Wix-Gallery-Downloads/main/Majestic/9602-S.pdf</t>
  </si>
  <si>
    <t xml:space="preserve">https://static.wixstatic.com/media/866235_9826e7b8772c42bd94a4742945a6a3e8~mv2.webp</t>
  </si>
  <si>
    <t xml:space="preserve">https://static.wixstatic.com/media/866235_9826e7b8772c42bd94a4742945a6a3e8~mv2.webp; https://static.wixstatic.com/media/866235_188b2dd1e92d4b7a98573dbfd01bc15c~mv2.webp</t>
  </si>
  <si>
    <t xml:space="preserve">The 9602-S built by Clayton West Hermiston is a thoughtfully designed home offering 3 bedrooms, 2 bathrooms, and 1,792 sq. ft. of living space. The open layout features a spacious living area, a well-equipped kitchen with a large island, and a cozy dining space. The master suite includes a private bath and a walk-in closet for added convenience. Built with energy-efficient materials and contemporary finishes, the 9602-S is perfect for modern living.</t>
  </si>
  <si>
    <t xml:space="preserve">Majestic 9596-S</t>
  </si>
  <si>
    <t xml:space="preserve">mar-majestic-9596</t>
  </si>
  <si>
    <t xml:space="preserve">9596-S</t>
  </si>
  <si>
    <t xml:space="preserve">26' 8" x 70'</t>
  </si>
  <si>
    <t xml:space="preserve">https://raw.githubusercontent.com/CadelMVH/Wix-Gallery-Downloads/main/Majestic/9596-S.pdf</t>
  </si>
  <si>
    <t xml:space="preserve">https://my.matterport.com/show/?play=1&amp;m=933JpxWncFA</t>
  </si>
  <si>
    <t xml:space="preserve">https://static.wixstatic.com/media/866235_95c211f1eeaf403186f865d3ede5d3d2~mv2.webp</t>
  </si>
  <si>
    <t xml:space="preserve">https://static.wixstatic.com/media/866235_95c211f1eeaf403186f865d3ede5d3d2~mv2.webp; https://static.wixstatic.com/media/866235_198515826a4f45f39ad1ef73e9b92bea~mv2.webp</t>
  </si>
  <si>
    <t xml:space="preserve">Quality built and flexibly designed customizable family home features spacious living room open to beautiful modern kitchen with center island and extra large pantry and family size dining room; large utility laundry room with built in cabinets, work center, freezer cabinet and an abundance of extra storage capacity; privately located master bedroom and luxurious ensuite boasting stall shower, platform oval soaking tub and “his” and “hers” sinks; king size guest bedrooms with walk-in closets.</t>
  </si>
  <si>
    <t xml:space="preserve">Majestic 9604-S</t>
  </si>
  <si>
    <t xml:space="preserve">mar-majestic-9604</t>
  </si>
  <si>
    <t xml:space="preserve">9604-S</t>
  </si>
  <si>
    <t xml:space="preserve">https://raw.githubusercontent.com/CadelMVH/Wix-Gallery-Downloads/main/Majestic/9604-S.pdf</t>
  </si>
  <si>
    <t xml:space="preserve">https://static.wixstatic.com/media/866235_fa5fbfbf429f40ee9d1c6361fea62bcb~mv2.webp</t>
  </si>
  <si>
    <t xml:space="preserve">https://static.wixstatic.com/media/866235_fa5fbfbf429f40ee9d1c6361fea62bcb~mv2.webp; https://static.wixstatic.com/media/866235_7ee6760770574218b4709b0be936d505~mv2.webp</t>
  </si>
  <si>
    <t xml:space="preserve">The 9604-S built by Clayton West Hermiston is a stunning multi-section home featuring 3 bedrooms, 2 bathrooms, and 1,944 sq. ft. of living space. The open-concept layout maximizes comfort and functionality, seamlessly connecting the living space, gourmet kitchen, and dining area. The master suite offers a private retreat with a spacious walk-in closet and an ensuite bath. Designed with energy efficiency and contemporary style, the 9604-S is a perfect home for modern families.</t>
  </si>
  <si>
    <t xml:space="preserve">Majestic 9603-S</t>
  </si>
  <si>
    <t xml:space="preserve">mar-majestic-9603</t>
  </si>
  <si>
    <t xml:space="preserve">9603-S</t>
  </si>
  <si>
    <t xml:space="preserve">30' x 66'</t>
  </si>
  <si>
    <t xml:space="preserve">https://raw.githubusercontent.com/CadelMVH/Wix-Gallery-Downloads/main/Majestic/9603-S.pdf</t>
  </si>
  <si>
    <t xml:space="preserve">https://static.wixstatic.com/media/866235_da794221570d46898d06d59351a3dc9f~mv2.webp</t>
  </si>
  <si>
    <t xml:space="preserve">https://static.wixstatic.com/media/866235_da794221570d46898d06d59351a3dc9f~mv2.webp; https://static.wixstatic.com/media/866235_bfa837c4ea7b4bac87603398a16e73c2~mv2.webp</t>
  </si>
  <si>
    <t xml:space="preserve">The 9603-S built by Clayton West Hermiston is a stylish and spacious home featuring 3 bedrooms, 2 bathrooms, and 1,976 sq. ft. of living space. The open floor plan enhances the flow between the living room, kitchen, and dining area. The master suite boasts a spa-like ensuite bath and a generous walk-in closet. Built with energy efficiency and high-quality craftsmanship in mind, the 9603-S offers both luxury and practicality.</t>
  </si>
  <si>
    <t xml:space="preserve">Majestic 9588-S</t>
  </si>
  <si>
    <t xml:space="preserve">mar-majestic-9588</t>
  </si>
  <si>
    <t xml:space="preserve">9588-S</t>
  </si>
  <si>
    <t xml:space="preserve">40' x 56'</t>
  </si>
  <si>
    <t xml:space="preserve">https://raw.githubusercontent.com/CadelMVH/Wix-Gallery-Downloads/main/Majestic/9588-S.pdf</t>
  </si>
  <si>
    <t xml:space="preserve">https://my.matterport.com/show/?play=1&amp;m=2g4gQmXvmHf</t>
  </si>
  <si>
    <t xml:space="preserve">https://static.wixstatic.com/media/866235_79c68540999e49e98cae9e41cfc868e0~mv2.webp</t>
  </si>
  <si>
    <t xml:space="preserve">https://static.wixstatic.com/media/866235_79c68540999e49e98cae9e41cfc868e0~mv2.webp; https://static.wixstatic.com/media/866235_300cef3fb5fa4968af19a2bbe73759aa~mv2.webp; https://static.wixstatic.com/media/866235_932977170cb7477cbff7f987f04e9723~mv2.webp</t>
  </si>
  <si>
    <t xml:space="preserve">Estate size home offers customizable options to meet individual family wants and needs including master bedroom retreat, one-half bath, mudroom at rear exit door, optional fourth bedroom, flipped master bath option; home features covered porch entry into sprawling great room open to beautiful island kitchen and dining room; privately located master bedroom huge walk-in closet with bench, shelving dual hanging racks and center island storage cabinet; king size guest bedrooms with walk-in closets.</t>
  </si>
  <si>
    <t xml:space="preserve">Majestic 9584-S</t>
  </si>
  <si>
    <t xml:space="preserve">mar-majestic-9584</t>
  </si>
  <si>
    <t xml:space="preserve">9584-S</t>
  </si>
  <si>
    <t xml:space="preserve">40' x 57' 4"</t>
  </si>
  <si>
    <t xml:space="preserve">https://raw.githubusercontent.com/CadelMVH/Wix-Gallery-Downloads/main/Majestic/9584-S.pdf</t>
  </si>
  <si>
    <t xml:space="preserve">https://static.wixstatic.com/media/866235_e3278786de174731bb60ede7d6621048~mv2.webp</t>
  </si>
  <si>
    <t xml:space="preserve">https://static.wixstatic.com/media/866235_e3278786de174731bb60ede7d6621048~mv2.webp; https://static.wixstatic.com/media/866235_6e3a0b7ea58e4ea9a44fc763b1841ab8~mv2.webp; https://static.wixstatic.com/media/866235_bb163aa08f1845c199ffa746205d28a8~mv2.webp</t>
  </si>
  <si>
    <t xml:space="preserve">Beautiful estate size home features optional covered porch expanding indoor/outdoor space ideal for relaxation and casual dining across living room, kitchen and family room; beautiful well equipped modern kitchen with gathering bar, flanked on one side by spacious living room and equally large family room on opposite side with dining room between; large master bedroom with glamorous ensuite; secondary bedrooms are large and well located with easy access to second/guest bath.</t>
  </si>
  <si>
    <t xml:space="preserve">Majestic 9593-S</t>
  </si>
  <si>
    <t xml:space="preserve">mar-majestic-9593</t>
  </si>
  <si>
    <t xml:space="preserve">9593-S</t>
  </si>
  <si>
    <t xml:space="preserve">40' x 64'</t>
  </si>
  <si>
    <t xml:space="preserve">https://raw.githubusercontent.com/CadelMVH/Wix-Gallery-Downloads/main/Majestic/9593-S.pdf</t>
  </si>
  <si>
    <t xml:space="preserve">https://my.matterport.com/show/?play=1&amp;m=YCj14AZVvoU</t>
  </si>
  <si>
    <t xml:space="preserve">https://static.wixstatic.com/media/866235_c1c432c81b144dca9ec8885f9039910a~mv2.webp</t>
  </si>
  <si>
    <t xml:space="preserve">https://static.wixstatic.com/media/866235_c1c432c81b144dca9ec8885f9039910a~mv2.webp; https://static.wixstatic.com/media/866235_08b31bcc53f844209972b4da94ef74bf~mv2.webp; https://static.wixstatic.com/media/866235_961ff8d6443c40fba1b1fc19e2a46966~mv2.webp</t>
  </si>
  <si>
    <t xml:space="preserve">Beautifully crafted estate size triple section home designed with features and amenities to satisfy the particular needs and wants of family home purchasers, including covered porch entry into expansive great room, spacious and comforting master bedroom boasting a master retreat and luxurious ensuite; beautiful large chef’s style modern kitchen with an abundance of handcrafted cabinets, center island and large wrap around snack/serving/gathering bar; extra large family retreat or optional fourth bedroom and smaller family retreat.</t>
  </si>
  <si>
    <t xml:space="preserve">Majestic 9585-S</t>
  </si>
  <si>
    <t xml:space="preserve">mar-majestic-9585</t>
  </si>
  <si>
    <t xml:space="preserve">9585-S</t>
  </si>
  <si>
    <t xml:space="preserve">40' x 70'</t>
  </si>
  <si>
    <t xml:space="preserve">https://raw.githubusercontent.com/CadelMVH/Wix-Gallery-Downloads/main/Majestic/9585-S.pdf</t>
  </si>
  <si>
    <t xml:space="preserve">https://static.wixstatic.com/media/866235_211ce57758914ba28a191f2b5483dd0c~mv2.webp</t>
  </si>
  <si>
    <t xml:space="preserve">https://static.wixstatic.com/media/866235_211ce57758914ba28a191f2b5483dd0c~mv2.webp; https://static.wixstatic.com/media/866235_d6b328e056a84a79acf16caf1b6562e5~mv2.webp; https://static.wixstatic.com/media/866235_a62a4a34da444444ba42738324ea9520~mv2.webp</t>
  </si>
  <si>
    <t xml:space="preserve">Beautifully crafted and skillfully designed sprawling estate size home features spacious living room and dining room with large windows with natural light to bathe the entire area, opening to bright modern semi-circular kitchen with large center island adjacent to expansive family room; glamorous and comforting master bedroom with retreat and luxurious ensuite with state of the art fixtures; large secondary bedrooms.</t>
  </si>
  <si>
    <t xml:space="preserve">Majestic 9590-S Super</t>
  </si>
  <si>
    <t xml:space="preserve">mar-majestic-9590-super</t>
  </si>
  <si>
    <t xml:space="preserve">30' x 52'</t>
  </si>
  <si>
    <t xml:space="preserve">Majestic 9601-S Super</t>
  </si>
  <si>
    <t xml:space="preserve">mar-majestic-9601-super</t>
  </si>
  <si>
    <t xml:space="preserve">Majestic 9596-S Super</t>
  </si>
  <si>
    <t xml:space="preserve">mar-majestic-9596-super</t>
  </si>
  <si>
    <t xml:space="preserve">cl-tempo-imagine</t>
  </si>
  <si>
    <t xml:space="preserve">Clayton Homes</t>
  </si>
  <si>
    <t xml:space="preserve">Tempo</t>
  </si>
  <si>
    <t xml:space="preserve">TEM14401A</t>
  </si>
  <si>
    <t xml:space="preserve">https://raw.githubusercontent.com/CadelMVH/Wix-Gallery-Downloads/main/Tempo/Imagine.pdf</t>
  </si>
  <si>
    <t xml:space="preserve">https://momento360.com/e/uc/1eeef250340a418d9cbdd09dc39f9fe4</t>
  </si>
  <si>
    <t xml:space="preserve">https://static.wixstatic.com/media/866235_89513a50391a40df80f521eebaead518~mv2.webp</t>
  </si>
  <si>
    <t xml:space="preserve">https://static.wixstatic.com/media/866235_89513a50391a40df80f521eebaead518~mv2.webp; https://static.wixstatic.com/media/866235_dcef81f039fc4d31a244b82eeb0c43f7~mv2.png</t>
  </si>
  <si>
    <t xml:space="preserve">The Tempo / Imagine built by Golden West Homes offers 533 square feet of efficiently crafted living space, featuring 1 bedroom and 1 bathroom. This manufactured home is designed to maximize comfort in a compact layout, with an open living area that enhances everyday convenience and a private bedroom that provides a restful escape. The Imagine is a fantastic choice for individuals or couples seeking a modern, cozy home that combines practicality with a welcoming atmosphere, ideal for both short stays and long-term living.</t>
  </si>
  <si>
    <t xml:space="preserve">Ac Ready: Heat Pump / Air Conditioner Ready / Whole House Ventilation System; Additional Specs: eBuilt Home / Energy Star Certified / Vented Ridgecap (50% of Ridgeline) / Housewrap Under Siding - All Around / Smart Panel Soffit - Vented / 8" Cement Facia w/ Painted Drip Edge to Match / 9" Setback Frame / Brown Composite Porch Decking (if Applicable); Exterior Wall On Center: 16" o.c.; Exterior Wall Studs: 2 x 6 Exterior Walls; Floor Decking: 19/32" T&amp;G OSB Floor Decking; Floor Joists: 12' Wide Floors = 2 x 6 Floor Joists - 16" o.c. / 13' 4" Floors = 2 x 6 Floor Joists - 16" o.c. / 13' 4" Wide Floors = 2 x 6 Floor Joists - 16" o.c. / 15' Wide Floors = 2 x 6 Floor Joists - 16" o.c.; Interior Wall On Center: 24" o.c.; Interior Wall Studs: 2 x 3 Interior Walls; Roof Load: 30# Roof Load - 24" o.c. Rafters; Side Wall Height: 8' Sidewalls w/ Flat Ceilings; Insulation (Floors): R 33 Inside I-Beams &amp; R 22 Outside I-Beams; Insulation (Walls): R 21; Insulation (Roof): R 38; Eaves: Single Section Homes = 4 1/2" Sidewall &amp; 12" Endwall (Nominal) / Multi Section Homes = 6" Sidewall &amp; 12" Endwall (Nominal)</t>
  </si>
  <si>
    <t xml:space="preserve">Additional Specs: Spring Doorstops - All Exterior Doors; Dormer: 16' Dormer Multi Section Homes - Per Print (N/A on Porch Models) / Columns at Dormer Valleys / Accent Paint Between Columns and Under Dormer; Front Door: 36" Craftsman Fiberglass w/ Matte Black Thumblatch; Rear Door: 36" 9 Lite Fiberglass w/ Brushed Nickel Egg Knob; Roof Pitch: Single Section Homes = 4/12 Roof Pitch / Multi Section Homes = Nominal 3/12 Roof Pitch; Shingles: Architectural Shingles - Color: Weathered Wood; Siding: 3/8" LP Smartpanel Vertical Siding; Window Trim: 4" LP Window Trim; Window Type: White Vinyl Framed, Argon Gas, Low "E" Windows; Exterior Lighting: Black Lantern Style Exterior Light w/ LED Bulb - Front Door / Jelly Jar Style Exterior Light w/ LED Bulb - Back Door(s); Exterior Outlets: Exterior GFI Receptacle (2) - Front and Back - Per Print</t>
  </si>
  <si>
    <t xml:space="preserve">Baseboards: 3 1/2" White Baseboard Throughout (Closets w/ Doors &amp; Pantries = 2" Batton); Ceiling Fans: Wire &amp; Brace for Fan - Living Room and Primary Bedroom; Ceiling Type Or Grade: 2 1/4" White Ceiling Trim (Closets w/ Doors &amp; Pantries = 2" Batton); Safety Alarms: Combination CO / Smoke Detector; Window Type: White Cased Window Wrap - All Windows; Wall Finish: Orange Peel Drywall Texture / Square Drywall Corners; Interior Doors: White Cathedral Interior Doors w/ 3 Hinges / 2 1/4" White Door Casing (Closets w/ Doors &amp; Pantries = 2" Batton); Interior Lighting: Recessed LED Lights - Per Electrical Print; Interior Flooring: LUX Aged European Oak LX 311 - Vinyl Sheet Flooring - Per Print; Cabinetry &amp; Counters: Wire Shelving in Closets, Linens and Pantries / Full Hardwood Cabinet System - Doors, Face Frames and Sidepanels / 42" Overhead Cabinets / Flat Crown Moulding on Overheads / Blonde Maple Lined Base &amp; Overhead Cabinets / Cabinet Matched Liner Behind Refrigerator / 1 Fixed Half Shelf in Base Cabinets (1/2" Thick w/ Cleats) / 1 Fixed Shelf in Overhead Cabinets (1/2" Thick w/ Wrapped Cleats); Interior Paint: Interior Paint = Greek Villa SW 7551 (Flat Finish); Carpet Type Or Grade: 25 oz. New Wave Carpet - Color: Weathered (Multi Sections Only) - Shipped Loose / 5# Carpet Pad</t>
  </si>
  <si>
    <t xml:space="preserve">Note: Electrical Service: 200 Amp Electrical Service / Solar and Wind-Ready w/ 1" Conduit Furnace: Electric Furnace - Sized in Accordance w/ ACCA Manual S &amp; Manual J Heat Duct Registers: In-Floor Crossover Heat Duct System Other: Hose Bibb (2) - Front and Back - Per Print Shut Off Valves Throughout: Whole House Master Water Shut-Off Valve Thermostat: ecobee Programmable Thermostat Washer Dryer Plumb Wire: Plumbed and Wired for Clothes Washer &amp; Dryer Water Heater: Rheem 40 Gallon Hybrid Heat Pump Water Heater Water Shut Off Valves: Shut Off Valves at all Sinks and Commodes Door Hardware: Brushed Nickel Egg Shaped Interior Door Knobs</t>
  </si>
  <si>
    <t xml:space="preserve">Kitchen Sink: Kitchen Sink - 8" Deep Stainless; Kitchen Refrigerator: Energy Star Rated 18 Cu. Ft . Refrigerator - Stainless / Plumb Only for Icemaker; Kitchen Range Type: Smooth Top Self-Cleaning Electric Range - Stainless; Kitchen Range Hood: Designer Rangehood - Stainless; Kitchen Faucets: Stellen - 1-Handle Pull Down Kitchen Faucet - Stainless; Kitchen Drawer Type: Metal Roller Drawer Guides / Bank of Drawers - Kitchen (2 Large &amp; 1 Small); Kitchen Dishwasher: Energy Star Rated Dishwasher - Stainless; Kitchen Countertops: Laminate Countertops - Color Per Order Specs; Kitchen Cabinetry: Kitchen Perimeter Cabinets - Studio Beige or Bishop Oak / Island Bar Cabinets - Onyx Black or Plover; Kitchen Backsplash: 4" Laminate Backsplash Throughout (NO Sidesplash); Bathroom Cabinets: Bathroom Cabinets - Studio Beige or Bishop Oak; Bathroom Sink: Square China Sink w/ Pop Up; Bathroom Lighting: 1 Recessed LED Light - Secondary Bedrooms / Recessed LED Lights Over Bath Sinks; Bathroom Countertops: Laminate Countertops - Color Per Order Specs; Bathroom Faucets: Weller - Brushed Nickel 2 - Handle Faucets / Low Flow Faucets and Shower Fixtures; Bathroom Fans: Power Exhaust Bath Fan; Bathroom Additional Specs: Privacy Locks on all Baths; Bathroom Backsplash: 4" Laminate Backsplash Throughout (NO Sidesplash); Bathroom Shower: 60" Fiberglass Double Seat Shower w/ Framed Door (Most Baths) - See Print / Fiberglass 60 x 32 Tub Shower - Center Drain guest baths; Bathroom Toilet Type: Elongated Stool; Bathroom Mirror: Framed Mirror</t>
  </si>
  <si>
    <t xml:space="preserve">Satisfaction</t>
  </si>
  <si>
    <t xml:space="preserve">cl-tempo-satisfaction</t>
  </si>
  <si>
    <t xml:space="preserve">51TEM14482AH</t>
  </si>
  <si>
    <t xml:space="preserve">https://raw.githubusercontent.com/CadelMVH/Wix-Gallery-Downloads/main/Tempo/Satisfaction.pdf</t>
  </si>
  <si>
    <t xml:space="preserve">https://static.wixstatic.com/media/866235_32f30451798b4d44bd67ff2a0e1b2c82~mv2.webp</t>
  </si>
  <si>
    <t xml:space="preserve">https://static.wixstatic.com/media/866235_32f30451798b4d44bd67ff2a0e1b2c82~mv2.webp; https://static.wixstatic.com/media/866235_ce8de1458d394487879dd4b65bdac0ec~mv2.png</t>
  </si>
  <si>
    <t xml:space="preserve">The Tempo / Satisfaction built by Golden West Homes offers 640 square feet of thoughtfully arranged living space, featuring 2 bedrooms and 1 bathroom. This manufactured home is crafted for efficiency and style, with an open layout ideal for comfortable living and private bedrooms that provide a cozy retreat. The Satisfaction is a perfect choice for individuals or couples seeking a compact, modern home that balances functionality with a welcoming atmosphere, making it ideal for daily comfort or a getaway haven.</t>
  </si>
  <si>
    <t xml:space="preserve">Yesterday</t>
  </si>
  <si>
    <t xml:space="preserve">cl-tempo-yesterday</t>
  </si>
  <si>
    <t xml:space="preserve">51TEM16441AH</t>
  </si>
  <si>
    <t xml:space="preserve">15' x 44'</t>
  </si>
  <si>
    <t xml:space="preserve">https://raw.githubusercontent.com/CadelMVH/Wix-Gallery-Downloads/main/Tempo/Yesterday.pdf</t>
  </si>
  <si>
    <t xml:space="preserve">https://momento360.com/e/uc/42205040200945fbb5aa4c064ae81611</t>
  </si>
  <si>
    <t xml:space="preserve">https://static.wixstatic.com/media/866235_755e681c05c142b981f553d542346e86~mv2.webp</t>
  </si>
  <si>
    <t xml:space="preserve">https://static.wixstatic.com/media/866235_755e681c05c142b981f553d542346e86~mv2.webp; https://static.wixstatic.com/media/866235_0b5995951d314a64bc975c303fca8354~mv2.png</t>
  </si>
  <si>
    <t xml:space="preserve">The Tempo / Yesterday built by Golden West Homes offers 660 square feet of cozy, well-utilized living space, featuring 1 bedroom and 1 bathroom. This manufactured home combines charm with functionality, offering an open layout that enhances daily comfort and a private bedroom for a peaceful retreat. The Yesterday is an ideal choice for individuals or couples seeking a compact, modern home that blends practicality with an inviting atmosphere, making it perfect for relaxed everyday living or an intimate getaway.</t>
  </si>
  <si>
    <t xml:space="preserve">Layla</t>
  </si>
  <si>
    <t xml:space="preserve">cl-tempo-layla</t>
  </si>
  <si>
    <t xml:space="preserve">51TEM16522AH</t>
  </si>
  <si>
    <t xml:space="preserve">15' x 52'</t>
  </si>
  <si>
    <t xml:space="preserve">https://raw.githubusercontent.com/CadelMVH/Wix-Gallery-Downloads/main/Tempo/Layla.pdf</t>
  </si>
  <si>
    <t xml:space="preserve">https://static.wixstatic.com/media/866235_19cdc25fc79243c18faaf493a7a12965~mv2.webp</t>
  </si>
  <si>
    <t xml:space="preserve">https://static.wixstatic.com/media/866235_19cdc25fc79243c18faaf493a7a12965~mv2.webp; https://static.wixstatic.com/media/866235_3fc3bf73be55472fac5c421d10af6bc1~mv2.png</t>
  </si>
  <si>
    <t xml:space="preserve">The Tempo / Layla built by Golden West Homes provides 780 square feet of thoughtfully arranged living space, featuring 2 bedrooms and 1 bathroom. This manufactured home is designed for both functionality and style, offering open living areas that foster connection and private bedrooms that provide a cozy retreat. The Layla is an ideal choice for individuals or couples seeking a compact, modern home that balances practicality with a warm, inviting atmosphere, making it perfect for daily living or weekend escapes.</t>
  </si>
  <si>
    <t xml:space="preserve">Respect</t>
  </si>
  <si>
    <t xml:space="preserve">cl-tempo-respect</t>
  </si>
  <si>
    <t xml:space="preserve">51TEM14602AH</t>
  </si>
  <si>
    <t xml:space="preserve">https://raw.githubusercontent.com/CadelMVH/Wix-Gallery-Downloads/main/Tempo/Respect.pdf</t>
  </si>
  <si>
    <t xml:space="preserve">https://momento360.com/e/uc/051f4e3081b841b99f6416795279f117</t>
  </si>
  <si>
    <t xml:space="preserve">https://static.wixstatic.com/media/866235_442ad29f01a2432e8285fc9f250b5be7~mv2.webp</t>
  </si>
  <si>
    <t xml:space="preserve">https://static.wixstatic.com/media/866235_442ad29f01a2432e8285fc9f250b5be7~mv2.webp; https://static.wixstatic.com/media/866235_1aa6ca3b582a44b68b856059d1882800~mv2.png</t>
  </si>
  <si>
    <t xml:space="preserve">The Tempo / Respect built by Golden West Homes offers 800 square feet of efficiently designed living space, featuring 2 bedrooms and 2 bathrooms. This manufactured home combines comfort with practicality, providing open areas for relaxed gatherings and private bedrooms that offer a peaceful retreat. The Respect is an ideal choice for individuals or couples seeking a modern, compact home that balances functionality with a warm, inviting atmosphere, making it well-suited for both everyday living and weekend escapes.</t>
  </si>
  <si>
    <t xml:space="preserve">Still The One</t>
  </si>
  <si>
    <t xml:space="preserve">cl-tempo-stilltheone</t>
  </si>
  <si>
    <t xml:space="preserve">51TEM16562AH</t>
  </si>
  <si>
    <t xml:space="preserve">https://raw.githubusercontent.com/CadelMVH/Wix-Gallery-Downloads/main/Tempo/Still_The_One.pdf</t>
  </si>
  <si>
    <t xml:space="preserve">https://momento360.com/e/uc/7717e6eb85734832869d6f9b6052ebba</t>
  </si>
  <si>
    <t xml:space="preserve">https://static.wixstatic.com/media/866235_7f8542646a214b1b9810da52a1c868c6~mv2.webp</t>
  </si>
  <si>
    <t xml:space="preserve">https://static.wixstatic.com/media/866235_7f8542646a214b1b9810da52a1c868c6~mv2.webp; https://static.wixstatic.com/media/866235_0782ce96bac74125ba27c81b87785433~mv2.png</t>
  </si>
  <si>
    <t xml:space="preserve">The Tempo / Still the One built by Golden West Homes offers 840 square feet of well-planned living space, featuring 2 bedrooms and 2 bathrooms. This manufactured home combines style with functionality, providing open areas perfect for relaxation and private bedrooms that offer a peaceful retreat. The Still the One is an ideal choice for individuals or couples seeking a compact, modern home that balances everyday practicality with a cozy, welcoming atmosphere, making it perfect for comfortable daily living or weekend escapes.</t>
  </si>
  <si>
    <t xml:space="preserve">Good Vibrations</t>
  </si>
  <si>
    <t xml:space="preserve">cl-tempo-goodvibrations</t>
  </si>
  <si>
    <t xml:space="preserve">51TEM14663AH</t>
  </si>
  <si>
    <t xml:space="preserve">13' 4" x 66'</t>
  </si>
  <si>
    <t xml:space="preserve">https://raw.githubusercontent.com/CadelMVH/Wix-Gallery-Downloads/main/Tempo/Good_Vibrations.pdf</t>
  </si>
  <si>
    <t xml:space="preserve">https://momento360.com/e/uc/37f9938dcde54573805b2a7d92f0a1a8</t>
  </si>
  <si>
    <t xml:space="preserve">https://static.wixstatic.com/media/866235_f390acd679d54e228f2457a9cfd3a6e1~mv2.webp</t>
  </si>
  <si>
    <t xml:space="preserve">https://static.wixstatic.com/media/866235_f390acd679d54e228f2457a9cfd3a6e1~mv2.webp; https://static.wixstatic.com/media/866235_55181d15bc764a72be07b2889c43fe6a~mv2.png</t>
  </si>
  <si>
    <t xml:space="preserve">The Tempo / Good Vibrations built by Golden West Homes provides 880 square feet of thoughtfully arranged living space, featuring 3 bedrooms and 2 bathrooms. This manufactured home is crafted to maximize comfort and style within a compact footprint, offering open living areas perfect for family gatherings and private bedrooms that provide a restful retreat. The Good Vibrations is a great choice for families or individuals seeking a modern, functional home that blends practicality with a welcoming atmosphere for everyday enjoyment.</t>
  </si>
  <si>
    <t xml:space="preserve">Born to Run</t>
  </si>
  <si>
    <t xml:space="preserve">cl-tempo-borntorun</t>
  </si>
  <si>
    <t xml:space="preserve">55TEM16602AH</t>
  </si>
  <si>
    <t xml:space="preserve">15' x 60'</t>
  </si>
  <si>
    <t xml:space="preserve">https://raw.githubusercontent.com/CadelMVH/Wix-Gallery-Downloads/main/Tempo/Born_To_Run.pdf</t>
  </si>
  <si>
    <t xml:space="preserve">https://momento360.com/e/uc/78461eacbe8f493587113fd7158e7e45</t>
  </si>
  <si>
    <t xml:space="preserve">https://static.wixstatic.com/media/866235_d957040013c54d8da401a3d904152240~mv2.webp</t>
  </si>
  <si>
    <t xml:space="preserve">https://static.wixstatic.com/media/866235_d957040013c54d8da401a3d904152240~mv2.webp; https://static.wixstatic.com/media/866235_2d40156382cf442a905a3773b5f1f5a5~mv2.png; https://static.wixstatic.com/media/866235_fdc6c11893e54f3dae9cd3fac3e1c3c1~mv2.webp; https://static.wixstatic.com/media/866235_0f8e29303d6542019053c5ca270114cc~mv2.webp; https://static.wixstatic.com/media/866235_e07536f9285f494692febd705f78c6d6~mv2.webp; https://static.wixstatic.com/media/866235_0ed7fa4ff014445f85f3ef4b0bf75db6~mv2.webp</t>
  </si>
  <si>
    <t xml:space="preserve">The Tempo / Born to Run built by Golden West Homes provides 900 square feet of efficiently designed living space, featuring 2 bedrooms and 2 bathrooms. This manufactured home is crafted for those who value both style and functionality, with open areas that foster connection and private bedrooms that offer a relaxing retreat. The Born to Run is an excellent choice for individuals or couples seeking a compact, modern home that combines everyday practicality with a warm, inviting atmosphere, making it perfect for comfortable living.</t>
  </si>
  <si>
    <t xml:space="preserve">Rhythm Nation</t>
  </si>
  <si>
    <t xml:space="preserve">cl-tempo-rhythmnation</t>
  </si>
  <si>
    <t xml:space="preserve">51TEM16663AH</t>
  </si>
  <si>
    <t xml:space="preserve">15' x 66</t>
  </si>
  <si>
    <t xml:space="preserve">https://raw.githubusercontent.com/CadelMVH/Wix-Gallery-Downloads/main/Tempo/Rhythm_Nation.pdf</t>
  </si>
  <si>
    <t xml:space="preserve">https://momento360.com/e/uc/e6656cfc4f184010a758bf06dc03d44c</t>
  </si>
  <si>
    <t xml:space="preserve">https://static.wixstatic.com/media/866235_2badd1981f624043b46311df245d9538~mv2.webp</t>
  </si>
  <si>
    <t xml:space="preserve">https://static.wixstatic.com/media/866235_2badd1981f624043b46311df245d9538~mv2.webp; https://static.wixstatic.com/media/866235_695a8ce9b111406a903bdab6b463a141~mv2.png</t>
  </si>
  <si>
    <t xml:space="preserve">The Tempo / Rhythm Nation built by Golden West Homes offers 990 square feet of well-designed living space, featuring 3 bedrooms and 2 bathrooms. This manufactured home is tailored for modern living, with open areas ideal for family gatherings and private bedrooms that create a peaceful retreat. The Rhythm Nation is an excellent choice for families or individuals seeking a compact, stylish home that balances functionality with a welcoming atmosphere, making it perfect for comfortable, everyday living.</t>
  </si>
  <si>
    <t xml:space="preserve">Rising Sun</t>
  </si>
  <si>
    <t xml:space="preserve">cl-tempo-risingsun</t>
  </si>
  <si>
    <t xml:space="preserve">51TEM24442AH</t>
  </si>
  <si>
    <t xml:space="preserve">https://raw.githubusercontent.com/CadelMVH/Wix-Gallery-Downloads/main/Tempo/Rising_Sun.pdf</t>
  </si>
  <si>
    <t xml:space="preserve">https://momento360.com/e/uc/947aaf514af34f30a3b1b74ad6d53f86</t>
  </si>
  <si>
    <t xml:space="preserve">https://static.wixstatic.com/media/866235_2f20bd0a291f4169b9b1aa0998801d99~mv2.webp</t>
  </si>
  <si>
    <t xml:space="preserve">https://static.wixstatic.com/media/866235_2f20bd0a291f4169b9b1aa0998801d99~mv2.webp; https://static.wixstatic.com/media/866235_856a5e141c7d47d7acf25926234ee95c~mv2.png; https://static.wixstatic.com/media/866235_31826d48e68e47d4a340b972aadacb8b~mv2.webp</t>
  </si>
  <si>
    <t xml:space="preserve">The Tempo / Rising Sun built by Golden West Homes offers 1,056 square feet of well-crafted living space, featuring 2 bedrooms and 2 bathrooms. This manufactured home combines style with functionality, providing open living areas ideal for social gatherings and private bedrooms for a peaceful retreat. The Rising Sun is an excellent choice for individuals or couples seeking a contemporary home that balances convenience with warmth, making it perfect for both everyday living and a serene escape.</t>
  </si>
  <si>
    <t xml:space="preserve">Sweet Dreams</t>
  </si>
  <si>
    <t xml:space="preserve">cl-tempo-sweetdreams</t>
  </si>
  <si>
    <t xml:space="preserve">51TEM28403AH</t>
  </si>
  <si>
    <t xml:space="preserve">26' 8" x 40'</t>
  </si>
  <si>
    <t xml:space="preserve">https://raw.githubusercontent.com/CadelMVH/Wix-Gallery-Downloads/main/Tempo/Sweet_Dreams.pdf</t>
  </si>
  <si>
    <t xml:space="preserve">https://static.wixstatic.com/media/866235_4972ef9b49a04d1a9cda144e0b98f47a~mv2.webp</t>
  </si>
  <si>
    <t xml:space="preserve">https://static.wixstatic.com/media/866235_4972ef9b49a04d1a9cda144e0b98f47a~mv2.webp; https://static.wixstatic.com/media/866235_63705068dbf34ff2b617d6539f6ae806~mv2.png; https://static.wixstatic.com/media/866235_e279cd72e3844b96bee2652ede9a1329~mv2.jpg; https://static.wixstatic.com/media/866235_4b585d4fac50423ab841ce4c789a9332~mv2.jpg; https://static.wixstatic.com/media/866235_94268ec18641461aa9bf85314a3926e1~mv2.jpg; https://static.wixstatic.com/media/866235_51c7a8c288a14505959695e0d32d2877~mv2.jpg; https://static.wixstatic.com/media/866235_24cdd0424cfe4ad0b3852f43a9f6dbcf~mv2.jpg</t>
  </si>
  <si>
    <t xml:space="preserve">The Tempo / Sweet Dreams built by Golden West Homes offers 1,067 square feet of thoughtfully designed living space, featuring 3 bedrooms and 2 bathrooms. This manufactured home balances style and functionality, with open areas perfect for gatherings and private bedrooms that create a cozy retreat. The Sweet Dreams is an ideal choice for families or individuals seeking a modern home that combines practical living with a warm, inviting atmosphere, making it perfect for both everyday life and memorable moments.</t>
  </si>
  <si>
    <t xml:space="preserve">Move on up</t>
  </si>
  <si>
    <t xml:space="preserve">cl-tempo-moveonup</t>
  </si>
  <si>
    <t xml:space="preserve">51TEM16723AH</t>
  </si>
  <si>
    <t xml:space="preserve">https://raw.githubusercontent.com/CadelMVH/Wix-Gallery-Downloads/main/Tempo/Move_On_Up.pdf</t>
  </si>
  <si>
    <t xml:space="preserve">https://momento360.com/e/uc/8cedcb708e2b4188b2913be4a3e755de</t>
  </si>
  <si>
    <t xml:space="preserve">https://my.matterport.com/show/?play=1&amp;m=YQrYPRUR4Di</t>
  </si>
  <si>
    <t xml:space="preserve">https://static.wixstatic.com/media/866235_718466bfdc9b4fbc919f9841af5b015f~mv2.png</t>
  </si>
  <si>
    <t xml:space="preserve">https://static.wixstatic.com/media/866235_718466bfdc9b4fbc919f9841af5b015f~mv2.png; https://static.wixstatic.com/media/866235_b9302d6468124850a27311e3f3bf0cfc~mv2.jpg; https://static.wixstatic.com/media/866235_de56f8a12933406d88da107ed90f8125~mv2.jpg; https://static.wixstatic.com/media/866235_d7070508bccd4c649969a00f43c8a208~mv2.jpg; https://static.wixstatic.com/media/866235_2d859c0bdee9453ca8e52e851cc94152~mv2.jpg; https://static.wixstatic.com/media/866235_be14b833448343048e6c24be16beb8c3~mv2.jpg</t>
  </si>
  <si>
    <t xml:space="preserve">The Tempo / Move On Up built by Golden West Homes provides 1,080 square feet of thoughtfully planned living space, featuring 3 bedrooms and 2 bathrooms. This manufactured home combines comfort with efficiency, offering open areas ideal for gatherings and private bedrooms that ensure a cozy retreat. The Move On Up is a fantastic choice for families or individuals seeking a modern home that balances functionality with an inviting atmosphere, making it perfect for both everyday life and relaxed weekends.</t>
  </si>
  <si>
    <t xml:space="preserve">Sweet Caroline</t>
  </si>
  <si>
    <t xml:space="preserve">cl-tempo-sweetcoroline</t>
  </si>
  <si>
    <t xml:space="preserve">TEM16763BH</t>
  </si>
  <si>
    <t xml:space="preserve">15' x 76'</t>
  </si>
  <si>
    <t xml:space="preserve">https://raw.githubusercontent.com/CadelMVH/Wix-Gallery-Downloads/main/Tempo/Sweet_Coroline.pdf</t>
  </si>
  <si>
    <t xml:space="preserve">https://momento360.com/e/uc/479f8bedba354a3cbcd38f750d2b5ee1</t>
  </si>
  <si>
    <t xml:space="preserve">https://static.wixstatic.com/media/866235_ede03bb987dd4de88749a9f6c981a51d~mv2.png</t>
  </si>
  <si>
    <t xml:space="preserve">The Tempo / Sweet Caroline built by Golden West Homes offers 1,140 square feet of expertly arranged living space, featuring 3 bedrooms and 2 bathrooms. This manufactured home is designed for comfort and style, providing open areas perfect for gatherings and private bedrooms that create a cozy retreat. The Sweet Caroline is an ideal choice for families or individuals seeking a modern home that balances functionality with a warm, welcoming atmosphere, making everyday living both enjoyable and relaxing.</t>
  </si>
  <si>
    <t xml:space="preserve">Here Comes the Sun</t>
  </si>
  <si>
    <t xml:space="preserve">cl-tempo-herecomesthesun</t>
  </si>
  <si>
    <t xml:space="preserve">51TEM24483AH</t>
  </si>
  <si>
    <t xml:space="preserve">24' x 48'</t>
  </si>
  <si>
    <t xml:space="preserve">https://raw.githubusercontent.com/CadelMVH/Wix-Gallery-Downloads/main/Tempo/Here_Comes_The_Sun.pdf</t>
  </si>
  <si>
    <t xml:space="preserve">https://momento360.com/e/uc/401387cf236a4cb29231fb05c16da963</t>
  </si>
  <si>
    <t xml:space="preserve">https://static.wixstatic.com/media/866235_d9c3f5ed584d47cc915e6dbd97410b28~mv2.webp</t>
  </si>
  <si>
    <t xml:space="preserve">https://static.wixstatic.com/media/866235_d9c3f5ed584d47cc915e6dbd97410b28~mv2.webp; https://static.wixstatic.com/media/866235_183d1674ab3c489b9ee6dd9dea7439e3~mv2.png; https://static.wixstatic.com/media/866235_c7569a408a1a4467a69165264012f44c~mv2.webp</t>
  </si>
  <si>
    <t xml:space="preserve">The Tempo / Here Comes The Sun built by Golden West Homes provides 1,152 square feet of thoughtfully designed living space, featuring 3 bedrooms and 2 bathrooms. This manufactured home is crafted to blend comfort and style, offering open areas perfect for family gatherings and private bedrooms for a peaceful retreat. The Here Comes The Sun is an ideal choice for families or individuals seeking a modern home that combines practicality with a warm, inviting atmosphere, making it a perfect place for daily living.</t>
  </si>
  <si>
    <t xml:space="preserve">Beautiful Morning</t>
  </si>
  <si>
    <t xml:space="preserve">cl-tempo-beautifulmorning</t>
  </si>
  <si>
    <t xml:space="preserve">55TEM28443AH</t>
  </si>
  <si>
    <t xml:space="preserve">https://raw.githubusercontent.com/CadelMVH/Wix-Gallery-Downloads/main/Tempo/Beautiful_Morning.pdf</t>
  </si>
  <si>
    <t xml:space="preserve">https://momento360.com/e/uc/9641df1bdecf4eb8b682635658efbe5b</t>
  </si>
  <si>
    <t xml:space="preserve">https://static.wixstatic.com/media/866235_494025bcde1745c9b7d66edd37f22391~mv2.webp</t>
  </si>
  <si>
    <t xml:space="preserve">https://static.wixstatic.com/media/866235_494025bcde1745c9b7d66edd37f22391~mv2.webp; https://static.wixstatic.com/media/866235_6fafbdff91874d70a3400f0157fa44c7~mv2.png; https://static.wixstatic.com/media/866235_c5930d2f66d9495ab035e5bef199b372~mv2.jpg; https://static.wixstatic.com/media/866235_9ec302f1c3494d7782c32b9af435fe86~mv2.jpg; https://static.wixstatic.com/media/866235_d79059648787440baf5e4bb3aafaef19~mv2.jpg</t>
  </si>
  <si>
    <t xml:space="preserve">The Tempo / Beautiful Morning built by Golden West Homes offers 1,173 square feet of thoughtfully crafted living space, featuring 3 bedrooms and 2 bathrooms. This manufactured home is designed for comfort and functionality, providing open areas ideal for family gatherings and private bedrooms that offer a serene retreat. The Beautiful Morning is an excellent choice for families or individuals seeking a stylish home that combines practicality with a warm, inviting atmosphere, making everyday living enjoyable and relaxing.</t>
  </si>
  <si>
    <t xml:space="preserve">Stand by Me (Porch)</t>
  </si>
  <si>
    <t xml:space="preserve">cl-tempo-standbymeporch</t>
  </si>
  <si>
    <t xml:space="preserve">51TIP24523AH</t>
  </si>
  <si>
    <t xml:space="preserve">24' x 52' / 46'</t>
  </si>
  <si>
    <t xml:space="preserve">https://raw.githubusercontent.com/CadelMVH/Wix-Gallery-Downloads/main/Tempo/Stand_By_Me.pdf</t>
  </si>
  <si>
    <t xml:space="preserve">https://static.wixstatic.com/media/866235_6a6f98cd4c3c4ed6bcad7a82ce8e14c0~mv2.webp</t>
  </si>
  <si>
    <t xml:space="preserve">https://static.wixstatic.com/media/866235_6a6f98cd4c3c4ed6bcad7a82ce8e14c0~mv2.webp; https://static.wixstatic.com/media/866235_bb197a816de6473cac534aed3a1aba56~mv2.png</t>
  </si>
  <si>
    <t xml:space="preserve">The Tempo / Stand By Me built by Golden West Homes offers 1,176 square feet of inviting living space, featuring 3 bedrooms and 2 bathrooms. This manufactured home is designed to balance comfort and style, with spacious open areas that enhance everyday gatherings and private bedrooms for restful retreats. The Stand By Me is an ideal choice for families or individuals seeking a contemporary home that merges practicality with warmth, making it a perfect setting for both relaxed living and memorable moments</t>
  </si>
  <si>
    <t xml:space="preserve">Three Little Birds</t>
  </si>
  <si>
    <t xml:space="preserve">cl-tempo-threelittlebirds</t>
  </si>
  <si>
    <t xml:space="preserve">55TMP24523AH</t>
  </si>
  <si>
    <t xml:space="preserve">24' x 52'</t>
  </si>
  <si>
    <t xml:space="preserve">https://raw.githubusercontent.com/CadelMVH/Wix-Gallery-Downloads/main/Tempo/Three_Little_Birds.pdf</t>
  </si>
  <si>
    <t xml:space="preserve">https://momento360.com/e/uc/38b5f1e44d5f4ef991878af7089a65da</t>
  </si>
  <si>
    <t xml:space="preserve">https://static.wixstatic.com/media/866235_dc22d1b24559467c9d6950642dcee3f2~mv2.webp</t>
  </si>
  <si>
    <t xml:space="preserve">https://static.wixstatic.com/media/866235_dc22d1b24559467c9d6950642dcee3f2~mv2.webp; https://static.wixstatic.com/media/866235_2996bcaf4e034b55949649fd18e50872~mv2.png</t>
  </si>
  <si>
    <t xml:space="preserve">The Tempo / Three Little Birds built by Golden West Homes provides 1,248 square feet of thoughtfully designed living space, featuring 3 bedrooms and 2 bathrooms. This manufactured home combines modern style with everyday comfort, offering open areas perfect for gatherings and private bedrooms that create a peaceful retreat. The Three Little Birds is an excellent choice for families or individuals seeking a home that balances functionality with a warm, inviting atmosphere, ideal for relaxed living and lasting memories.</t>
  </si>
  <si>
    <t xml:space="preserve">Whole Lotta Love (Porch)</t>
  </si>
  <si>
    <t xml:space="preserve">cl-tempo-wholelottaloveporch</t>
  </si>
  <si>
    <t xml:space="preserve">51TIP24563AH</t>
  </si>
  <si>
    <t xml:space="preserve">24' x 56'/50'</t>
  </si>
  <si>
    <t xml:space="preserve">https://raw.githubusercontent.com/CadelMVH/Wix-Gallery-Downloads/main/Tempo/Whole_Lotta_Love.pdf</t>
  </si>
  <si>
    <t xml:space="preserve">https://momento360.com/e/uc/8ff1bfaf8f1b44b196157f476b9d15e6</t>
  </si>
  <si>
    <t xml:space="preserve">https://static.wixstatic.com/media/866235_ec3adab466d94ad5983ed4ba04fbfbd4~mv2.webp</t>
  </si>
  <si>
    <t xml:space="preserve">https://static.wixstatic.com/media/866235_ec3adab466d94ad5983ed4ba04fbfbd4~mv2.webp; https://static.wixstatic.com/media/866235_6d368c2ddd8b4e1aa789396fe43f7e1d~mv2.png</t>
  </si>
  <si>
    <t xml:space="preserve">The Tempo / Whole Lotta Love built by Golden West Homes offers 1,272 square feet of thoughtfully designed living space, featuring 3 bedrooms and 2 bathrooms. This manufactured home balances style and functionality, with open areas perfect for gatherings and private bedrooms that create a cozy retreat. The Whole Lotta Love is an ideal choice for families or individuals seeking a modern home that combines practical living with a warm, inviting atmosphere, making it perfect for both everyday life and memorable moments.</t>
  </si>
  <si>
    <t xml:space="preserve">Under Pressure</t>
  </si>
  <si>
    <t xml:space="preserve">cl-tempo-underpressure</t>
  </si>
  <si>
    <t xml:space="preserve">51TEM28483AH</t>
  </si>
  <si>
    <t xml:space="preserve">https://raw.githubusercontent.com/CadelMVH/Wix-Gallery-Downloads/main/Tempo/Under_Pressure.pdf</t>
  </si>
  <si>
    <t xml:space="preserve">https://momento360.com/e/uc/4b4d091ffa6e4822a8e1166cf12be1af</t>
  </si>
  <si>
    <t xml:space="preserve">https://static.wixstatic.com/media/866235_17027f87070d43b9aa32767dfebdded6~mv2.webp</t>
  </si>
  <si>
    <t xml:space="preserve">https://static.wixstatic.com/media/866235_17027f87070d43b9aa32767dfebdded6~mv2.webp; https://static.wixstatic.com/media/866235_af002400eed843f38695f1af38ca0968~mv2.png</t>
  </si>
  <si>
    <t xml:space="preserve">The Tempo / Under Pressure built by Golden West Homes delivers 1,280 square feet of versatile living space, featuring 3 bedrooms and 2 bathrooms. This manufactured home offers a refreshing layout, with open spaces that invite relaxation and well-separated bedrooms for added privacy. The Under Pressure model is an ideal choice for those seeking a balance of function and comfort, designed to accommodate modern lifestyles with style and flexibility, making it perfect for both lively gatherings and quiet retreats.</t>
  </si>
  <si>
    <t xml:space="preserve">Johnny B Goode (Porch)</t>
  </si>
  <si>
    <t xml:space="preserve">cl-tempo-johnnybgoodeporch</t>
  </si>
  <si>
    <t xml:space="preserve">55TMP28523BH</t>
  </si>
  <si>
    <t xml:space="preserve">26' 8" x 52 / 46'</t>
  </si>
  <si>
    <t xml:space="preserve">https://raw.githubusercontent.com/CadelMVH/Wix-Gallery-Downloads/main/Tempo/Johnny_B_Goode.pdf</t>
  </si>
  <si>
    <t xml:space="preserve">https://momento360.com/e/uc/4b0b4b7c1aa54dff9cf60b1e21bc192a</t>
  </si>
  <si>
    <t xml:space="preserve">https://static.wixstatic.com/media/866235_478f568b32bb4eb08149f0a1db20a5de~mv2.webp</t>
  </si>
  <si>
    <t xml:space="preserve">https://static.wixstatic.com/media/866235_478f568b32bb4eb08149f0a1db20a5de~mv2.webp; https://static.wixstatic.com/media/866235_9bf1ddc9e81b4dc0b2a83533211d7d57~mv2.png</t>
  </si>
  <si>
    <t xml:space="preserve">The Tempo / Johnny B Goode built by Golden West Homes offers 1,306 square feet of versatile living space, featuring 3 bedrooms and 2 bathrooms. This manufactured home provides a thoughtfully designed layout with open spaces that enhance flow and private bedrooms that offer comfort and seclusion. The Johnny B Goode is a perfect match for those seeking a home that combines practicality with inviting charm, making it a wonderful setting for relaxed gatherings and quiet moments alike, all within a modern aesthetic.</t>
  </si>
  <si>
    <t xml:space="preserve">My Girl</t>
  </si>
  <si>
    <t xml:space="preserve">cl-tempo-mygirl</t>
  </si>
  <si>
    <t xml:space="preserve">55TMP24563AH</t>
  </si>
  <si>
    <t xml:space="preserve">https://raw.githubusercontent.com/CadelMVH/Wix-Gallery-Downloads/main/Tempo/My_Girl.pdf</t>
  </si>
  <si>
    <t xml:space="preserve">https://momento360.com/e/uc/b7986d5c12bb435d87caee93a693c170</t>
  </si>
  <si>
    <t xml:space="preserve">https://static.wixstatic.com/media/866235_775331bae48e498bb0405e85d1fd56dd~mv2.webp</t>
  </si>
  <si>
    <t xml:space="preserve">https://static.wixstatic.com/media/866235_775331bae48e498bb0405e85d1fd56dd~mv2.webp; https://static.wixstatic.com/media/866235_916c47a3182940e1a46f3fd215f3df0d~mv2.png</t>
  </si>
  <si>
    <t xml:space="preserve">The Tempo / My Girl – Flipped built by Golden West Homes offers 1,344 square feet of beautifully arranged living space, featuring 3 bedrooms and 2 bathrooms. This manufactured home combines modern functionality with cozy comfort, providing open living areas perfect for family gatherings and private bedrooms that serve as a peaceful escape. The My Girl – Flipped is an ideal choice for families or individuals seeking a stylish home that balances everyday practicality with a welcoming atmosphere, making it perfect for relaxed living.</t>
  </si>
  <si>
    <t xml:space="preserve">Free Bird</t>
  </si>
  <si>
    <t xml:space="preserve">cl-tempo-freebird</t>
  </si>
  <si>
    <t xml:space="preserve">51TEM28523AH</t>
  </si>
  <si>
    <t xml:space="preserve">https://raw.githubusercontent.com/CadelMVH/Wix-Gallery-Downloads/main/Tempo/Free_Bird.pdf</t>
  </si>
  <si>
    <t xml:space="preserve">https://static.wixstatic.com/media/866235_b1452c9b7a944434967d6e232864f180~mv2.webp</t>
  </si>
  <si>
    <t xml:space="preserve">https://static.wixstatic.com/media/866235_b1452c9b7a944434967d6e232864f180~mv2.webp; https://static.wixstatic.com/media/866235_ce8b0c3ed8974de6b58aa610c745a88e~mv2.png</t>
  </si>
  <si>
    <t xml:space="preserve">The Tempo / Free Bird built by Golden West Homes provides an expansive 1,387 square feet of thoughtfully arranged space, featuring 3 bedrooms and 2 bathrooms. This manufactured home blends freedom and functionality, with a spacious living area that flows seamlessly into private quarters designed for relaxation. The Free Bird is an ideal choice for individuals or families who appreciate both open living areas and cozy personal spaces, offering a well-rounded home where convenience meets tranquility.</t>
  </si>
  <si>
    <t xml:space="preserve">Stayin' Alive</t>
  </si>
  <si>
    <t xml:space="preserve">cl-tempo-stayingaliveporch</t>
  </si>
  <si>
    <t xml:space="preserve">55TMP28563CH</t>
  </si>
  <si>
    <t xml:space="preserve">26' 8" x 56' / 50'</t>
  </si>
  <si>
    <t xml:space="preserve">https://raw.githubusercontent.com/CadelMVH/Wix-Gallery-Downloads/main/Tempo/Staying_Alive.pdf</t>
  </si>
  <si>
    <t xml:space="preserve">https://momento360.com/e/uc/6f069a2a8e794fe7b2b912468c0e5efd</t>
  </si>
  <si>
    <t xml:space="preserve">https://my.matterport.com/show/?play=1&amp;m=3bpsMxi1RMo</t>
  </si>
  <si>
    <t xml:space="preserve">https://static.wixstatic.com/media/866235_ddc7797e5f9d497395378c93caae1867~mv2.jpg</t>
  </si>
  <si>
    <t xml:space="preserve">https://static.wixstatic.com/media/866235_ddc7797e5f9d497395378c93caae1867~mv2.jpg; https://static.wixstatic.com/media/866235_cdc3f6249fa44323b21c8922779bd045~mv2.png; https://static.wixstatic.com/media/866235_25a667e8e16f480ea362c90053445637~mv2.jpg; https://static.wixstatic.com/media/866235_485c7f512a644cd68b316504fbd5be02~mv2.jpg; https://static.wixstatic.com/media/866235_75ce724dad7c4568a2e87eeeadc02faf~mv2.jpg; https://static.wixstatic.com/media/866235_2f0a803e0f3b42919205a5fabffa5f6c~mv2.jpg; https://static.wixstatic.com/media/866235_adfdf4c91c334a4ca24325ebb945f02d~mv2.jpg; https://static.wixstatic.com/media/866235_ae6cec687deb495689b1b9ab5c9cc03d~mv2.jpg; https://static.wixstatic.com/media/866235_b925e7d0648441f6a9d17cc4d2d8b712~mv2.jpg; https://static.wixstatic.com/media/866235_0940eec337a548688cdd9c4d8f8db921~mv2.jpg; https://static.wixstatic.com/media/866235_c47783aea2a94344841495c99fc33dac~mv2.png; https://static.wixstatic.com/media/866235_a8e7cf7a37a04dd39713c389e8c7fb4c~mv2.jpg; https://static.wixstatic.com/media/866235_50c0e7b74e0f4bc1a79c9b8d0ff70f8c~mv2.jpg; https://static.wixstatic.com/media/866235_067f3c35612a4e419655eb4a79b21c5a~mv2.jpg; https://static.wixstatic.com/media/866235_a83e38bdcb414ec2ba29527f992bde57~mv2.jpg</t>
  </si>
  <si>
    <t xml:space="preserve">The Tempo / Stayin’ Alive built by Golden West Homes offers 1,414 square feet of dynamic living space, featuring 3 bedrooms and 2 bathrooms. This manufactured home is designed to balance energy and comfort, with an open layout ideal for gatherings and well-planned private bedrooms that provide a serene retreat. The Stayin’ Alive is a fantastic choice for families or individuals who appreciate modern design combined with cozy functionality, creating a lively yet relaxing environment perfect for both active days and restful nights.</t>
  </si>
  <si>
    <t xml:space="preserve">Lean on Me</t>
  </si>
  <si>
    <t xml:space="preserve">cl-tempo-leanonme</t>
  </si>
  <si>
    <t xml:space="preserve">27' x 56'</t>
  </si>
  <si>
    <t xml:space="preserve">https://raw.githubusercontent.com/CadelMVH/Wix-Gallery-Downloads/main/Tempo/Lean_On_Me.pdf</t>
  </si>
  <si>
    <t xml:space="preserve">Shout</t>
  </si>
  <si>
    <t xml:space="preserve">cl-tempo-shout</t>
  </si>
  <si>
    <t xml:space="preserve">https://raw.githubusercontent.com/CadelMVH/Wix-Gallery-Downloads/main/Tempo/Shout.pdf</t>
  </si>
  <si>
    <t xml:space="preserve">https://momento360.com/e/uc/c2f4608676e24913942d72cd08374f85</t>
  </si>
  <si>
    <t xml:space="preserve">https://static.wixstatic.com/media/866235_6bc1c7fd62eb46a8870b10f187d29e74~mv2.webp</t>
  </si>
  <si>
    <t xml:space="preserve">The Tempo / Shout built by Golden West Homes offers a generous 1,568 square feet of living space, with 3 bedrooms and 2 bathrooms. This manufactured home is designed to combine spaciousness with style, providing a large central area perfect for entertaining and private bedrooms that offer quiet, restful escapes. The Shout is an excellent choice for families or individuals who value open, versatile living spaces and serene personal areas, delivering a home that’s both inviting and functional for modern living.</t>
  </si>
  <si>
    <t xml:space="preserve">Brown Eyed Girl</t>
  </si>
  <si>
    <t xml:space="preserve">cl-tempo-browneyedgirl</t>
  </si>
  <si>
    <t xml:space="preserve">26'8" x 60'</t>
  </si>
  <si>
    <t xml:space="preserve">https://raw.githubusercontent.com/CadelMVH/Wix-Gallery-Downloads/main/Tempo/Brown_Eyed_Girl.pdf</t>
  </si>
  <si>
    <t xml:space="preserve">https://momento360.com/e/uc/095791f5a6084c54ac115b04d6becdb7</t>
  </si>
  <si>
    <t xml:space="preserve">https://static.wixstatic.com/media/866235_7dc3bdc3221b4d6db01700c63e58de50~mv2.webp</t>
  </si>
  <si>
    <t xml:space="preserve">The Tempo / Brown Eyed Girl built by Golden West Homes offers 1,680 square feet of spacious, well-organized living, featuring 4 bedrooms and 2 bathrooms. This manufactured home is crafted for those who value both comfort and style, with an open main area perfect for social gatherings and private bedrooms that provide quiet retreats. The Brown Eyed Girl is an ideal choice for families or individuals who need a versatile space that blends functionality with warmth, creating an inviting environment suited to everyday life and special occasions alike.</t>
  </si>
  <si>
    <t xml:space="preserve">Limelight</t>
  </si>
  <si>
    <t xml:space="preserve">cl-tempo-limelight</t>
  </si>
  <si>
    <t xml:space="preserve">55TMP30563A</t>
  </si>
  <si>
    <t xml:space="preserve">https://raw.githubusercontent.com/CadelMVH/Wix-Gallery-Downloads/main/Tempo/Limelight.pdf</t>
  </si>
  <si>
    <t xml:space="preserve">https://momento360.com/e/uc/52c10d9e02824495a80923576db9ef72</t>
  </si>
  <si>
    <t xml:space="preserve">https://static.wixstatic.com/media/866235_2a6e32f0b3944cbf80397586efdcaf29~mv2.webp</t>
  </si>
  <si>
    <t xml:space="preserve">https://static.wixstatic.com/media/866235_2a6e32f0b3944cbf80397586efdcaf29~mv2.webp; https://static.wixstatic.com/media/866235_aa107bd58fa14464b1904762d5e7ffe3~mv2.png</t>
  </si>
  <si>
    <t xml:space="preserve">The Tempo / Limelight built by Golden West Homes offers 1,680 square feet of modern, well-organized living space, featuring 3 bedrooms and 2 bathrooms. This manufactured home is designed for those who value open areas for gatherings and private spaces for relaxation, with a layout that balances both perfectly. The Limelight is an ideal choice for families or individuals seeking a stylish yet functional home that enhances daily living with comfort and a touch of elegance, making it a wonderful setting for both lively and quiet moments.</t>
  </si>
  <si>
    <t xml:space="preserve">Rocket Man</t>
  </si>
  <si>
    <t xml:space="preserve">cl-tempo-rocketman</t>
  </si>
  <si>
    <t xml:space="preserve">51TEM28663AH</t>
  </si>
  <si>
    <t xml:space="preserve">26' 8" x 66'</t>
  </si>
  <si>
    <t xml:space="preserve">https://raw.githubusercontent.com/CadelMVH/Wix-Gallery-Downloads/main/Tempo/Rocket_Man.pdf</t>
  </si>
  <si>
    <t xml:space="preserve">https://momento360.com/e/uc/7adf3930fcb64740986c55e34aa3d850</t>
  </si>
  <si>
    <t xml:space="preserve">https://static.wixstatic.com/media/866235_fefcd425bb1e471ebe2b4d0eb659f0f3~mv2.webp</t>
  </si>
  <si>
    <t xml:space="preserve">https://static.wixstatic.com/media/866235_fefcd425bb1e471ebe2b4d0eb659f0f3~mv2.webp; https://static.wixstatic.com/media/866235_41831a86fdf54572bb07adb8d4e16c8d~mv2.png</t>
  </si>
  <si>
    <t xml:space="preserve">The Tempo / Rocket Man built by Golden West Homes offers a spacious 1,782 square feet, featuring 3 bedrooms and 2 bathrooms. This manufactured home is thoughtfully designed to provide ample living areas for family gatherings and quiet retreats, with an open layout that fosters connection and private bedrooms that ensure comfort. The Rocket Man is a perfect choice for families or individuals who seek a modern, roomy home that balances style with practicality, creating an environment suited for both relaxation and activity.</t>
  </si>
  <si>
    <t xml:space="preserve">Hey Jude</t>
  </si>
  <si>
    <t xml:space="preserve">cl-tempo-heyjude</t>
  </si>
  <si>
    <t xml:space="preserve">https://raw.githubusercontent.com/CadelMVH/Wix-Gallery-Downloads/main/Tempo/Hey_Jude.pdf</t>
  </si>
  <si>
    <t xml:space="preserve">https://momento360.com/e/uc/fa694db04a254e98b483023c8b1a7517</t>
  </si>
  <si>
    <t xml:space="preserve">https://static.wixstatic.com/media/866235_c5d64e566f4243e2ad88b37a8c96b9d1~mv2.png</t>
  </si>
  <si>
    <t xml:space="preserve">The Hey Jude built by Clayton Homes is a thoughtfully designed home offering 4 bedrooms, 2 bathrooms, and 1,920 sq. ft. of living space. The expansive layout includes a spacious living room, a well-equipped kitchen with ample storage, and a dining area perfect for gatherings. The master suite features a walk-in closet and a private bath. Built for efficiency and comfort, the Hey Jude is an excellent choice for families looking for space and style.</t>
  </si>
  <si>
    <t xml:space="preserve">Superfly</t>
  </si>
  <si>
    <t xml:space="preserve">cl-tempo-superfly</t>
  </si>
  <si>
    <t xml:space="preserve">27' x 76'</t>
  </si>
  <si>
    <t xml:space="preserve">https://raw.githubusercontent.com/CadelMVH/Wix-Gallery-Downloads/main/Tempo/Superfly.pdf</t>
  </si>
  <si>
    <t xml:space="preserve">https://static.wixstatic.com/media/866235_d9eaa088edf54109b60f097161c68f94~mv2.png</t>
  </si>
  <si>
    <t xml:space="preserve">The Superfly built by Clayton West Hermiston is a spacious and modern home featuring 5 bedrooms, 2 bathrooms, and 2,002 sq. ft. of living space. The open layout seamlessly connects the living room, kitchen, and dining area. The master suite includes a walk-in closet and ensuite bath for added privacy and luxury. Designed with high-quality materials and energy-efficient construction, the Superfly offers a perfect balance of elegance and practicality.</t>
  </si>
  <si>
    <t xml:space="preserve">Issue type</t>
  </si>
  <si>
    <t xml:space="preserve">Details</t>
  </si>
  <si>
    <t xml:space="preserve">Resolved? (your notes)</t>
  </si>
  <si>
    <t xml:space="preserve">Wrong description?</t>
  </si>
  <si>
    <t xml:space="preserve">Store description looks like it belongs to a different plan (its sq ft is more than 10% off from the other sources). Bed/bath counts and description text may be wrong - verify against the PDF.</t>
  </si>
  <si>
    <t xml:space="preserve">Missing bed/bath</t>
  </si>
  <si>
    <t xml:space="preserve">Bedrooms/bathrooms unknown (no usable store description).</t>
  </si>
  <si>
    <t xml:space="preserve">Sq ft mismatch</t>
  </si>
  <si>
    <t xml:space="preserve">Square footage disagrees: spreadsheet 1,600, label 1,600, description 1,680. Using 1,600.</t>
  </si>
  <si>
    <t xml:space="preserve">Square footage disagrees: spreadsheet 1,760, label 1,760, description 1,782. Using 1,760.</t>
  </si>
  <si>
    <t xml:space="preserve">Square footage disagrees: spreadsheet 1,493, label 1,493, description 1,568. Using 1,493.</t>
  </si>
  <si>
    <t xml:space="preserve">Square footage disagrees: spreadsheet 864, label 864, description 1,836. Using 864.</t>
  </si>
  <si>
    <t xml:space="preserve">Square footage disagrees: spreadsheet 1,296, label 1,196, description 1,296. Using 1,296.</t>
  </si>
  <si>
    <t xml:space="preserve">Square footage disagrees: spreadsheet 1,176, label 1,152, description 1,176. Using 1,176.</t>
  </si>
  <si>
    <t xml:space="preserve">Square footage disagrees: spreadsheet 1,296, label 1,296, description 1,251. Using 1,296.</t>
  </si>
  <si>
    <t xml:space="preserve">Square footage disagrees: spreadsheet 1,404, label 1,404, description 1,377. Using 1,404.</t>
  </si>
  <si>
    <t xml:space="preserve">Square footage disagrees: spreadsheet 1,512, label 1,512, description 1,458. Using 1,512.</t>
  </si>
  <si>
    <t xml:space="preserve">Square footage disagrees: spreadsheet 2,038, label 2,038, description 1,993. Using 2,038.</t>
  </si>
  <si>
    <t xml:space="preserve">Square footage disagrees: spreadsheet 746, label 746, description 766. Using 746.</t>
  </si>
  <si>
    <t xml:space="preserve">Square footage disagrees: spreadsheet 840, label 840, description 720. Using 840.</t>
  </si>
  <si>
    <t xml:space="preserve">Square footage disagrees: spreadsheet 1,080, label 1,080, description 1,020. Using 1,080.</t>
  </si>
  <si>
    <t xml:space="preserve">Square footage disagrees: spreadsheet 2,800, label 2,800, description 2,761. Using 2,800.</t>
  </si>
  <si>
    <t xml:space="preserve">Square footage disagrees: spreadsheet 2,240, label 2,240, description 2,172. Using 2,240.</t>
  </si>
  <si>
    <t xml:space="preserve">Square footage disagrees: spreadsheet 2,560, label 2,560, description 2,482. Using 2,560.</t>
  </si>
  <si>
    <t xml:space="preserve">Size mismatch</t>
  </si>
  <si>
    <t xml:space="preserve">Length differs: spreadsheet 60.0 ft vs store 72.0 ft.</t>
  </si>
  <si>
    <t xml:space="preserve">Wrong builder in text</t>
  </si>
  <si>
    <t xml:space="preserve">Store description names a different builder (Golden West) than the manufacturer (Clayton Homes). Customer-facing text may need fixing.</t>
  </si>
  <si>
    <t xml:space="preserve">Conflicting links</t>
  </si>
  <si>
    <t xml:space="preserve">Matterport tour: sources have different links (https://my.matterport.com/show/?play=1&amp;m=KoFoJy1tD99 [spreadsheet]; https://my.matterport.com/show/?play=1&amp;m=YCj14AZVvoU [store]). Using first.</t>
  </si>
  <si>
    <t xml:space="preserve">Missing PDF</t>
  </si>
  <si>
    <t xml:space="preserve">No floorplan PDF link - Print button would have nothing to print.</t>
  </si>
  <si>
    <t xml:space="preserve">Name</t>
  </si>
  <si>
    <t xml:space="preserve">Store handle</t>
  </si>
  <si>
    <t xml:space="preserve">Extra info from store</t>
  </si>
  <si>
    <t xml:space="preserve">Madrona Ct, Land/Home Package</t>
  </si>
  <si>
    <t xml:space="preserve">product_Sale-madrona</t>
  </si>
  <si>
    <t xml:space="preserve">The Home – Golden West Dream Silver 481F: Paired with this prime lot is the Golden West Dream Silver 481F model, a 3-bedroom, 2-bathroom home spanning 1,296 sq ft. This model is renowned for its quality craftsmanship and modern design, offering: Spacious Living: Open-concept layout with ample natural light from the Mt Hood Dormer Windows Modern Amenities: Energy-efficient appliances and contemporary finishes. | Package Price: $425,000</t>
  </si>
  <si>
    <t xml:space="preserve">Chester Ave, Land/Home Package</t>
  </si>
  <si>
    <t xml:space="preserve">product_Sale-chester</t>
  </si>
  <si>
    <t xml:space="preserve">The Home – Golden West Dream Silver 301P+: – 2 Beds, 2 Bath, 756 sq ft Built by Golden West, Dream Silver 301P model. Efficient and modern 756 sq ft layout featuring open-concept living, functional kitchen, private primary suite with attached bath, and second bedroom ideal for guests or office space. Move-in ready. Great opportunity for low-maintenance living close to everything Bremerton has to offer. | Package Price: $419,000</t>
  </si>
  <si>
    <t xml:space="preserve">Dealership kiosk - merged floorplan data</t>
  </si>
  <si>
    <t xml:space="preserve">Merged on</t>
  </si>
  <si>
    <t xml:space="preserve">2026-10-09 from Homes_List.xlsx and catalog_products (050526).csv</t>
  </si>
  <si>
    <t xml:space="preserve">What is in each sheet</t>
  </si>
  <si>
    <t xml:space="preserve">Floorplans</t>
  </si>
  <si>
    <t xml:space="preserve">One row per home. This is what the kiosk will read from.</t>
  </si>
  <si>
    <t xml:space="preserve">Needs review</t>
  </si>
  <si>
    <t xml:space="preserve">One row per problem found while merging (missing data, sources that disagree). Work through these top to bottom.</t>
  </si>
  <si>
    <t xml:space="preserve">Other listings</t>
  </si>
  <si>
    <t xml:space="preserve">Land/home packages from the store. Not floorplans, so kept out of the main sheet.</t>
  </si>
  <si>
    <t xml:space="preserve">Cells you can edit</t>
  </si>
  <si>
    <t xml:space="preserve">Yes/No dropdown. Pre-set to No for homes hidden in the store, missing bed/bath data, or with suspect data. Change to Yes once fixed.</t>
  </si>
  <si>
    <t xml:space="preserve">Left blank on purpose. When the master pricing list arrives, match it to the ID column.</t>
  </si>
  <si>
    <t xml:space="preserve">(yellow cells)</t>
  </si>
  <si>
    <t xml:space="preserve">Everything else is generated, so edit the source data or tell me and I will regenerate.</t>
  </si>
  <si>
    <t xml:space="preserve">How the sources were combined</t>
  </si>
  <si>
    <t xml:space="preserve">Matching</t>
  </si>
  <si>
    <t xml:space="preserve">Homes were matched by manufacturer, product line, and model number (Clayton by name). All 161 spreadsheet rows matched a store product.</t>
  </si>
  <si>
    <t xml:space="preserve">Bedrooms / bathrooms</t>
  </si>
  <si>
    <t xml:space="preserve">From the store description. Two homes had no BEDS/BATHS line, so counts were read from the description text (flagged).</t>
  </si>
  <si>
    <t xml:space="preserve">Square footage</t>
  </si>
  <si>
    <t xml:space="preserve">Majority vote of: spreadsheet, store label, store description. If no majority, the spreadsheet value is used. Disagreements are listed on Needs review.</t>
  </si>
  <si>
    <t xml:space="preserve">Links</t>
  </si>
  <si>
    <t xml:space="preserve">Combined from both sources. Duplicate Matterport links are treated as the same tour if the tour ID matches. Links have NOT been tested.</t>
  </si>
  <si>
    <t xml:space="preserve">Photos</t>
  </si>
  <si>
    <t xml:space="preserve">Store photos are stored as Wix file IDs. Full links were built as https://static.wixstatic.com/media/&lt;id&gt;. Not yet tested.</t>
  </si>
  <si>
    <t xml:space="preserve">Specs</t>
  </si>
  <si>
    <t xml:space="preserve">Split into five columns from the store listing (Construction, Exterior, Interior, Utilities, Kitchen &amp; bath).</t>
  </si>
  <si>
    <t xml:space="preserve">Live counts</t>
  </si>
  <si>
    <t xml:space="preserve">Total homes</t>
  </si>
  <si>
    <t xml:space="preserve">Set to show on kiosk</t>
  </si>
  <si>
    <t xml:space="preserve">With bedroom count</t>
  </si>
  <si>
    <t xml:space="preserve">With floorplan PDF</t>
  </si>
  <si>
    <t xml:space="preserve">With any 3D tour</t>
  </si>
  <si>
    <t xml:space="preserve">Still missing a price</t>
  </si>
</sst>
</file>

<file path=xl/styles.xml><?xml version="1.0" encoding="utf-8"?>
<styleSheet xmlns="http://schemas.openxmlformats.org/spreadsheetml/2006/main">
  <numFmts count="6">
    <numFmt numFmtId="164" formatCode="General"/>
    <numFmt numFmtId="165" formatCode="0"/>
    <numFmt numFmtId="166" formatCode="#,##0"/>
    <numFmt numFmtId="167" formatCode="0.0"/>
    <numFmt numFmtId="168" formatCode="\$#,##0"/>
    <numFmt numFmtId="169" formatCode="General"/>
  </numFmts>
  <fonts count="8">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4"/>
      <name val="Arial"/>
      <family val="0"/>
      <charset val="1"/>
    </font>
    <font>
      <b val="true"/>
      <sz val="10"/>
      <name val="Arial"/>
      <family val="0"/>
      <charset val="1"/>
    </font>
  </fonts>
  <fills count="4">
    <fill>
      <patternFill patternType="none"/>
    </fill>
    <fill>
      <patternFill patternType="gray125"/>
    </fill>
    <fill>
      <patternFill patternType="solid">
        <fgColor rgb="FF1F3A5F"/>
        <bgColor rgb="FF333333"/>
      </patternFill>
    </fill>
    <fill>
      <patternFill patternType="solid">
        <fgColor rgb="FFFFF2CC"/>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8" fontId="5" fillId="3"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9" fontId="5" fillId="0" borderId="0" xfId="0" applyFont="true" applyBorder="false" applyAlignment="true" applyProtection="false">
      <alignment horizontal="lef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A5F"/>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16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6"/>
    <col collapsed="false" customWidth="true" hidden="false" outlineLevel="0" max="3" min="3" style="0" width="14"/>
    <col collapsed="false" customWidth="true" hidden="false" outlineLevel="0" max="4" min="4" style="0" width="16"/>
    <col collapsed="false" customWidth="true" hidden="false" outlineLevel="0" max="5" min="5" style="0" width="10"/>
    <col collapsed="false" customWidth="true" hidden="false" outlineLevel="0" max="6" min="6" style="0" width="11"/>
    <col collapsed="false" customWidth="true" hidden="false" outlineLevel="0" max="7" min="7" style="0" width="14"/>
    <col collapsed="false" customWidth="true" hidden="false" outlineLevel="0" max="8" min="8" style="0" width="16"/>
    <col collapsed="false" customWidth="true" hidden="false" outlineLevel="0" max="9" min="9" style="0" width="9"/>
    <col collapsed="false" customWidth="true" hidden="false" outlineLevel="0" max="10" min="10" style="0" width="10"/>
    <col collapsed="false" customWidth="true" hidden="false" outlineLevel="0" max="11" min="11" style="0" width="8"/>
    <col collapsed="false" customWidth="true" hidden="false" outlineLevel="0" max="13" min="12" style="0" width="10"/>
    <col collapsed="false" customWidth="true" hidden="false" outlineLevel="0" max="14" min="14" style="0" width="9"/>
    <col collapsed="false" customWidth="true" hidden="false" outlineLevel="0" max="15" min="15" style="0" width="20"/>
    <col collapsed="false" customWidth="true" hidden="false" outlineLevel="0" max="16" min="16" style="0" width="12"/>
    <col collapsed="false" customWidth="true" hidden="false" outlineLevel="0" max="17" min="17" style="0" width="30"/>
    <col collapsed="false" customWidth="true" hidden="false" outlineLevel="0" max="19" min="18" style="0" width="11"/>
    <col collapsed="false" customWidth="true" hidden="false" outlineLevel="0" max="25" min="20" style="0" width="40"/>
    <col collapsed="false" customWidth="true" hidden="false" outlineLevel="0" max="26" min="26" style="0" width="60"/>
    <col collapsed="false" customWidth="true" hidden="false" outlineLevel="0" max="31" min="27" style="0" width="40"/>
    <col collapsed="false" customWidth="true" hidden="false" outlineLevel="0" max="34" min="32" style="0" width="11"/>
    <col collapsed="false" customWidth="true" hidden="false" outlineLevel="0" max="35" min="35" style="0" width="12"/>
  </cols>
  <sheetData>
    <row r="1" customFormat="false" ht="31.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customFormat="false" ht="15" hidden="false" customHeight="false" outlineLevel="0" collapsed="false">
      <c r="A2" s="2" t="s">
        <v>35</v>
      </c>
      <c r="B2" s="2" t="s">
        <v>36</v>
      </c>
      <c r="C2" s="2" t="s">
        <v>37</v>
      </c>
      <c r="D2" s="2" t="s">
        <v>38</v>
      </c>
      <c r="E2" s="2" t="s">
        <v>39</v>
      </c>
      <c r="F2" s="2" t="s">
        <v>40</v>
      </c>
      <c r="G2" s="2" t="s">
        <v>41</v>
      </c>
      <c r="H2" s="2" t="s">
        <v>42</v>
      </c>
      <c r="I2" s="3" t="n">
        <v>1</v>
      </c>
      <c r="J2" s="2" t="n">
        <v>1</v>
      </c>
      <c r="K2" s="4" t="n">
        <v>409</v>
      </c>
      <c r="L2" s="5" t="n">
        <v>13.5</v>
      </c>
      <c r="M2" s="5" t="n">
        <v>38.33</v>
      </c>
      <c r="N2" s="2" t="s">
        <v>43</v>
      </c>
      <c r="O2" s="2" t="s">
        <v>44</v>
      </c>
      <c r="P2" s="6" t="s">
        <v>45</v>
      </c>
      <c r="Q2" s="2"/>
      <c r="R2" s="7"/>
      <c r="S2" s="2" t="str">
        <f aca="false">IF(COUNTA(U2:W2)&gt;0,"Yes","No")</f>
        <v>Yes</v>
      </c>
      <c r="T2" s="2" t="s">
        <v>46</v>
      </c>
      <c r="U2" s="2" t="s">
        <v>47</v>
      </c>
      <c r="V2" s="2"/>
      <c r="W2" s="2"/>
      <c r="X2" s="2" t="s">
        <v>48</v>
      </c>
      <c r="Y2" s="2" t="s">
        <v>49</v>
      </c>
      <c r="Z2" s="2" t="s">
        <v>50</v>
      </c>
      <c r="AA2" s="2" t="s">
        <v>51</v>
      </c>
      <c r="AB2" s="2" t="s">
        <v>52</v>
      </c>
      <c r="AC2" s="2" t="s">
        <v>53</v>
      </c>
      <c r="AD2" s="2" t="s">
        <v>54</v>
      </c>
      <c r="AE2" s="2" t="s">
        <v>55</v>
      </c>
      <c r="AF2" s="2" t="s">
        <v>45</v>
      </c>
      <c r="AG2" s="2" t="s">
        <v>45</v>
      </c>
      <c r="AH2" s="2" t="s">
        <v>45</v>
      </c>
      <c r="AI2" s="2" t="n">
        <f aca="false">COUNTIF('Needs review'!$A:$A,B2)</f>
        <v>0</v>
      </c>
    </row>
    <row r="3" customFormat="false" ht="15" hidden="false" customHeight="false" outlineLevel="0" collapsed="false">
      <c r="A3" s="2" t="s">
        <v>56</v>
      </c>
      <c r="B3" s="2" t="s">
        <v>57</v>
      </c>
      <c r="C3" s="2" t="s">
        <v>37</v>
      </c>
      <c r="D3" s="2" t="s">
        <v>38</v>
      </c>
      <c r="E3" s="2" t="s">
        <v>39</v>
      </c>
      <c r="F3" s="2" t="s">
        <v>40</v>
      </c>
      <c r="G3" s="2" t="s">
        <v>58</v>
      </c>
      <c r="H3" s="2"/>
      <c r="I3" s="3" t="n">
        <v>1</v>
      </c>
      <c r="J3" s="2" t="n">
        <v>1</v>
      </c>
      <c r="K3" s="4" t="n">
        <v>540</v>
      </c>
      <c r="L3" s="5" t="n">
        <v>13.5</v>
      </c>
      <c r="M3" s="5" t="n">
        <v>40</v>
      </c>
      <c r="N3" s="2" t="s">
        <v>43</v>
      </c>
      <c r="O3" s="2" t="s">
        <v>44</v>
      </c>
      <c r="P3" s="6" t="s">
        <v>45</v>
      </c>
      <c r="Q3" s="2"/>
      <c r="R3" s="7"/>
      <c r="S3" s="2" t="str">
        <f aca="false">IF(COUNTA(U3:W3)&gt;0,"Yes","No")</f>
        <v>Yes</v>
      </c>
      <c r="T3" s="2"/>
      <c r="U3" s="2" t="s">
        <v>59</v>
      </c>
      <c r="V3" s="2"/>
      <c r="W3" s="2"/>
      <c r="X3" s="2" t="s">
        <v>60</v>
      </c>
      <c r="Y3" s="2" t="s">
        <v>60</v>
      </c>
      <c r="Z3" s="2" t="s">
        <v>61</v>
      </c>
      <c r="AA3" s="2" t="s">
        <v>51</v>
      </c>
      <c r="AB3" s="2" t="s">
        <v>52</v>
      </c>
      <c r="AC3" s="2" t="s">
        <v>53</v>
      </c>
      <c r="AD3" s="2" t="s">
        <v>54</v>
      </c>
      <c r="AE3" s="2" t="s">
        <v>55</v>
      </c>
      <c r="AF3" s="2" t="s">
        <v>45</v>
      </c>
      <c r="AG3" s="2" t="s">
        <v>45</v>
      </c>
      <c r="AH3" s="2" t="s">
        <v>45</v>
      </c>
      <c r="AI3" s="2" t="n">
        <f aca="false">COUNTIF('Needs review'!$A:$A,B3)</f>
        <v>1</v>
      </c>
    </row>
    <row r="4" customFormat="false" ht="15" hidden="false" customHeight="false" outlineLevel="0" collapsed="false">
      <c r="A4" s="2" t="s">
        <v>62</v>
      </c>
      <c r="B4" s="2" t="s">
        <v>63</v>
      </c>
      <c r="C4" s="2" t="s">
        <v>37</v>
      </c>
      <c r="D4" s="2" t="s">
        <v>38</v>
      </c>
      <c r="E4" s="2" t="s">
        <v>39</v>
      </c>
      <c r="F4" s="2" t="s">
        <v>40</v>
      </c>
      <c r="G4" s="2" t="s">
        <v>64</v>
      </c>
      <c r="H4" s="2"/>
      <c r="I4" s="3" t="n">
        <v>1</v>
      </c>
      <c r="J4" s="2" t="n">
        <v>1</v>
      </c>
      <c r="K4" s="4" t="n">
        <v>547</v>
      </c>
      <c r="L4" s="5" t="n">
        <v>20</v>
      </c>
      <c r="M4" s="5" t="n">
        <v>30</v>
      </c>
      <c r="N4" s="2" t="s">
        <v>65</v>
      </c>
      <c r="O4" s="2" t="s">
        <v>66</v>
      </c>
      <c r="P4" s="6" t="s">
        <v>45</v>
      </c>
      <c r="Q4" s="2"/>
      <c r="R4" s="7"/>
      <c r="S4" s="2" t="str">
        <f aca="false">IF(COUNTA(U4:W4)&gt;0,"Yes","No")</f>
        <v>Yes</v>
      </c>
      <c r="T4" s="2" t="s">
        <v>67</v>
      </c>
      <c r="U4" s="2" t="s">
        <v>68</v>
      </c>
      <c r="V4" s="2"/>
      <c r="W4" s="2"/>
      <c r="X4" s="2" t="s">
        <v>69</v>
      </c>
      <c r="Y4" s="2" t="s">
        <v>70</v>
      </c>
      <c r="Z4" s="2" t="s">
        <v>71</v>
      </c>
      <c r="AA4" s="2" t="s">
        <v>51</v>
      </c>
      <c r="AB4" s="2" t="s">
        <v>52</v>
      </c>
      <c r="AC4" s="2" t="s">
        <v>53</v>
      </c>
      <c r="AD4" s="2" t="s">
        <v>54</v>
      </c>
      <c r="AE4" s="2" t="s">
        <v>55</v>
      </c>
      <c r="AF4" s="2" t="s">
        <v>45</v>
      </c>
      <c r="AG4" s="2" t="s">
        <v>45</v>
      </c>
      <c r="AH4" s="2" t="s">
        <v>45</v>
      </c>
      <c r="AI4" s="2" t="n">
        <f aca="false">COUNTIF('Needs review'!$A:$A,B4)</f>
        <v>0</v>
      </c>
    </row>
    <row r="5" customFormat="false" ht="15" hidden="false" customHeight="false" outlineLevel="0" collapsed="false">
      <c r="A5" s="2" t="s">
        <v>72</v>
      </c>
      <c r="B5" s="2" t="s">
        <v>73</v>
      </c>
      <c r="C5" s="2" t="s">
        <v>37</v>
      </c>
      <c r="D5" s="2" t="s">
        <v>38</v>
      </c>
      <c r="E5" s="2" t="s">
        <v>39</v>
      </c>
      <c r="F5" s="2" t="s">
        <v>40</v>
      </c>
      <c r="G5" s="2" t="s">
        <v>74</v>
      </c>
      <c r="H5" s="2"/>
      <c r="I5" s="3" t="n">
        <v>2</v>
      </c>
      <c r="J5" s="2" t="n">
        <v>1</v>
      </c>
      <c r="K5" s="4" t="n">
        <v>648</v>
      </c>
      <c r="L5" s="5" t="n">
        <v>13.5</v>
      </c>
      <c r="M5" s="5" t="n">
        <v>48</v>
      </c>
      <c r="N5" s="2" t="s">
        <v>43</v>
      </c>
      <c r="O5" s="2" t="s">
        <v>44</v>
      </c>
      <c r="P5" s="6" t="s">
        <v>45</v>
      </c>
      <c r="Q5" s="2"/>
      <c r="R5" s="7"/>
      <c r="S5" s="2" t="str">
        <f aca="false">IF(COUNTA(U5:W5)&gt;0,"Yes","No")</f>
        <v>Yes</v>
      </c>
      <c r="T5" s="2" t="s">
        <v>75</v>
      </c>
      <c r="U5" s="2" t="s">
        <v>76</v>
      </c>
      <c r="V5" s="2"/>
      <c r="W5" s="2"/>
      <c r="X5" s="2" t="s">
        <v>77</v>
      </c>
      <c r="Y5" s="2" t="s">
        <v>78</v>
      </c>
      <c r="Z5" s="2" t="s">
        <v>79</v>
      </c>
      <c r="AA5" s="2" t="s">
        <v>51</v>
      </c>
      <c r="AB5" s="2" t="s">
        <v>52</v>
      </c>
      <c r="AC5" s="2" t="s">
        <v>53</v>
      </c>
      <c r="AD5" s="2" t="s">
        <v>54</v>
      </c>
      <c r="AE5" s="2" t="s">
        <v>55</v>
      </c>
      <c r="AF5" s="2" t="s">
        <v>45</v>
      </c>
      <c r="AG5" s="2" t="s">
        <v>45</v>
      </c>
      <c r="AH5" s="2" t="s">
        <v>45</v>
      </c>
      <c r="AI5" s="2" t="n">
        <f aca="false">COUNTIF('Needs review'!$A:$A,B5)</f>
        <v>0</v>
      </c>
    </row>
    <row r="6" customFormat="false" ht="15" hidden="false" customHeight="false" outlineLevel="0" collapsed="false">
      <c r="A6" s="2" t="s">
        <v>80</v>
      </c>
      <c r="B6" s="2" t="s">
        <v>81</v>
      </c>
      <c r="C6" s="2" t="s">
        <v>37</v>
      </c>
      <c r="D6" s="2" t="s">
        <v>38</v>
      </c>
      <c r="E6" s="2" t="s">
        <v>39</v>
      </c>
      <c r="F6" s="2" t="s">
        <v>40</v>
      </c>
      <c r="G6" s="2" t="s">
        <v>82</v>
      </c>
      <c r="H6" s="2"/>
      <c r="I6" s="3" t="n">
        <v>2</v>
      </c>
      <c r="J6" s="2" t="n">
        <v>1</v>
      </c>
      <c r="K6" s="4" t="n">
        <v>702</v>
      </c>
      <c r="L6" s="5" t="n">
        <v>14</v>
      </c>
      <c r="M6" s="5" t="n">
        <v>52</v>
      </c>
      <c r="N6" s="2" t="s">
        <v>43</v>
      </c>
      <c r="O6" s="2" t="s">
        <v>44</v>
      </c>
      <c r="P6" s="6" t="s">
        <v>45</v>
      </c>
      <c r="Q6" s="2"/>
      <c r="R6" s="7"/>
      <c r="S6" s="2" t="str">
        <f aca="false">IF(COUNTA(U6:W6)&gt;0,"Yes","No")</f>
        <v>No</v>
      </c>
      <c r="T6" s="2" t="s">
        <v>83</v>
      </c>
      <c r="U6" s="2"/>
      <c r="V6" s="2"/>
      <c r="W6" s="2"/>
      <c r="X6" s="2" t="s">
        <v>84</v>
      </c>
      <c r="Y6" s="2" t="s">
        <v>85</v>
      </c>
      <c r="Z6" s="2" t="s">
        <v>86</v>
      </c>
      <c r="AA6" s="2" t="s">
        <v>51</v>
      </c>
      <c r="AB6" s="2" t="s">
        <v>52</v>
      </c>
      <c r="AC6" s="2" t="s">
        <v>53</v>
      </c>
      <c r="AD6" s="2" t="s">
        <v>54</v>
      </c>
      <c r="AE6" s="2" t="s">
        <v>55</v>
      </c>
      <c r="AF6" s="2" t="s">
        <v>45</v>
      </c>
      <c r="AG6" s="2" t="s">
        <v>45</v>
      </c>
      <c r="AH6" s="2" t="s">
        <v>45</v>
      </c>
      <c r="AI6" s="2" t="n">
        <f aca="false">COUNTIF('Needs review'!$A:$A,B6)</f>
        <v>0</v>
      </c>
    </row>
    <row r="7" customFormat="false" ht="15" hidden="false" customHeight="false" outlineLevel="0" collapsed="false">
      <c r="A7" s="2" t="s">
        <v>87</v>
      </c>
      <c r="B7" s="2" t="s">
        <v>88</v>
      </c>
      <c r="C7" s="2" t="s">
        <v>37</v>
      </c>
      <c r="D7" s="2" t="s">
        <v>38</v>
      </c>
      <c r="E7" s="2" t="s">
        <v>39</v>
      </c>
      <c r="F7" s="2" t="s">
        <v>40</v>
      </c>
      <c r="G7" s="2" t="s">
        <v>89</v>
      </c>
      <c r="H7" s="2"/>
      <c r="I7" s="3" t="n">
        <v>2</v>
      </c>
      <c r="J7" s="2" t="n">
        <v>1</v>
      </c>
      <c r="K7" s="4" t="n">
        <v>756</v>
      </c>
      <c r="L7" s="5" t="n">
        <v>14</v>
      </c>
      <c r="M7" s="5" t="n">
        <v>56</v>
      </c>
      <c r="N7" s="2" t="s">
        <v>43</v>
      </c>
      <c r="O7" s="2" t="s">
        <v>44</v>
      </c>
      <c r="P7" s="6" t="s">
        <v>45</v>
      </c>
      <c r="Q7" s="2"/>
      <c r="R7" s="7"/>
      <c r="S7" s="2" t="str">
        <f aca="false">IF(COUNTA(U7:W7)&gt;0,"Yes","No")</f>
        <v>Yes</v>
      </c>
      <c r="T7" s="2" t="s">
        <v>90</v>
      </c>
      <c r="U7" s="2" t="s">
        <v>91</v>
      </c>
      <c r="V7" s="2"/>
      <c r="W7" s="2"/>
      <c r="X7" s="2" t="s">
        <v>92</v>
      </c>
      <c r="Y7" s="2" t="s">
        <v>93</v>
      </c>
      <c r="Z7" s="2" t="s">
        <v>94</v>
      </c>
      <c r="AA7" s="2" t="s">
        <v>51</v>
      </c>
      <c r="AB7" s="2" t="s">
        <v>52</v>
      </c>
      <c r="AC7" s="2" t="s">
        <v>53</v>
      </c>
      <c r="AD7" s="2" t="s">
        <v>54</v>
      </c>
      <c r="AE7" s="2" t="s">
        <v>55</v>
      </c>
      <c r="AF7" s="2" t="s">
        <v>45</v>
      </c>
      <c r="AG7" s="2" t="s">
        <v>45</v>
      </c>
      <c r="AH7" s="2" t="s">
        <v>45</v>
      </c>
      <c r="AI7" s="2" t="n">
        <f aca="false">COUNTIF('Needs review'!$A:$A,B7)</f>
        <v>0</v>
      </c>
    </row>
    <row r="8" customFormat="false" ht="15" hidden="false" customHeight="false" outlineLevel="0" collapsed="false">
      <c r="A8" s="2" t="s">
        <v>95</v>
      </c>
      <c r="B8" s="2" t="s">
        <v>96</v>
      </c>
      <c r="C8" s="2" t="s">
        <v>37</v>
      </c>
      <c r="D8" s="2" t="s">
        <v>38</v>
      </c>
      <c r="E8" s="2" t="s">
        <v>39</v>
      </c>
      <c r="F8" s="2" t="s">
        <v>40</v>
      </c>
      <c r="G8" s="2" t="s">
        <v>97</v>
      </c>
      <c r="H8" s="2"/>
      <c r="I8" s="3" t="n">
        <v>2</v>
      </c>
      <c r="J8" s="2" t="n">
        <v>2</v>
      </c>
      <c r="K8" s="4" t="n">
        <v>800</v>
      </c>
      <c r="L8" s="5" t="n">
        <v>20</v>
      </c>
      <c r="M8" s="5" t="n">
        <v>40</v>
      </c>
      <c r="N8" s="2" t="s">
        <v>65</v>
      </c>
      <c r="O8" s="2" t="s">
        <v>66</v>
      </c>
      <c r="P8" s="6" t="s">
        <v>45</v>
      </c>
      <c r="Q8" s="2"/>
      <c r="R8" s="7"/>
      <c r="S8" s="2" t="str">
        <f aca="false">IF(COUNTA(U8:W8)&gt;0,"Yes","No")</f>
        <v>No</v>
      </c>
      <c r="T8" s="2" t="s">
        <v>98</v>
      </c>
      <c r="U8" s="2"/>
      <c r="V8" s="2"/>
      <c r="W8" s="2"/>
      <c r="X8" s="2" t="s">
        <v>99</v>
      </c>
      <c r="Y8" s="2" t="s">
        <v>100</v>
      </c>
      <c r="Z8" s="2" t="s">
        <v>101</v>
      </c>
      <c r="AA8" s="2" t="s">
        <v>51</v>
      </c>
      <c r="AB8" s="2" t="s">
        <v>52</v>
      </c>
      <c r="AC8" s="2" t="s">
        <v>53</v>
      </c>
      <c r="AD8" s="2" t="s">
        <v>54</v>
      </c>
      <c r="AE8" s="2" t="s">
        <v>55</v>
      </c>
      <c r="AF8" s="2" t="s">
        <v>45</v>
      </c>
      <c r="AG8" s="2" t="s">
        <v>45</v>
      </c>
      <c r="AH8" s="2" t="s">
        <v>45</v>
      </c>
      <c r="AI8" s="2" t="n">
        <f aca="false">COUNTIF('Needs review'!$A:$A,B8)</f>
        <v>0</v>
      </c>
    </row>
    <row r="9" customFormat="false" ht="15" hidden="false" customHeight="false" outlineLevel="0" collapsed="false">
      <c r="A9" s="2" t="s">
        <v>102</v>
      </c>
      <c r="B9" s="2" t="s">
        <v>103</v>
      </c>
      <c r="C9" s="2" t="s">
        <v>37</v>
      </c>
      <c r="D9" s="2" t="s">
        <v>38</v>
      </c>
      <c r="E9" s="2" t="s">
        <v>39</v>
      </c>
      <c r="F9" s="2" t="s">
        <v>40</v>
      </c>
      <c r="G9" s="2" t="s">
        <v>104</v>
      </c>
      <c r="H9" s="2"/>
      <c r="I9" s="3" t="n">
        <v>2</v>
      </c>
      <c r="J9" s="2" t="n">
        <v>2</v>
      </c>
      <c r="K9" s="4" t="n">
        <v>810</v>
      </c>
      <c r="L9" s="5" t="n">
        <v>14</v>
      </c>
      <c r="M9" s="5" t="n">
        <v>60</v>
      </c>
      <c r="N9" s="2" t="s">
        <v>43</v>
      </c>
      <c r="O9" s="2" t="s">
        <v>44</v>
      </c>
      <c r="P9" s="6" t="s">
        <v>45</v>
      </c>
      <c r="Q9" s="2"/>
      <c r="R9" s="7"/>
      <c r="S9" s="2" t="str">
        <f aca="false">IF(COUNTA(U9:W9)&gt;0,"Yes","No")</f>
        <v>Yes</v>
      </c>
      <c r="T9" s="2" t="s">
        <v>105</v>
      </c>
      <c r="U9" s="2" t="s">
        <v>106</v>
      </c>
      <c r="V9" s="2"/>
      <c r="W9" s="2"/>
      <c r="X9" s="2" t="s">
        <v>107</v>
      </c>
      <c r="Y9" s="2" t="s">
        <v>108</v>
      </c>
      <c r="Z9" s="2" t="s">
        <v>109</v>
      </c>
      <c r="AA9" s="2" t="s">
        <v>51</v>
      </c>
      <c r="AB9" s="2" t="s">
        <v>52</v>
      </c>
      <c r="AC9" s="2" t="s">
        <v>53</v>
      </c>
      <c r="AD9" s="2" t="s">
        <v>54</v>
      </c>
      <c r="AE9" s="2" t="s">
        <v>55</v>
      </c>
      <c r="AF9" s="2" t="s">
        <v>45</v>
      </c>
      <c r="AG9" s="2" t="s">
        <v>45</v>
      </c>
      <c r="AH9" s="2" t="s">
        <v>45</v>
      </c>
      <c r="AI9" s="2" t="n">
        <f aca="false">COUNTIF('Needs review'!$A:$A,B9)</f>
        <v>0</v>
      </c>
    </row>
    <row r="10" customFormat="false" ht="15" hidden="false" customHeight="false" outlineLevel="0" collapsed="false">
      <c r="A10" s="2" t="s">
        <v>110</v>
      </c>
      <c r="B10" s="2" t="s">
        <v>111</v>
      </c>
      <c r="C10" s="2" t="s">
        <v>37</v>
      </c>
      <c r="D10" s="2" t="s">
        <v>38</v>
      </c>
      <c r="E10" s="2" t="s">
        <v>39</v>
      </c>
      <c r="F10" s="2" t="s">
        <v>40</v>
      </c>
      <c r="G10" s="2" t="s">
        <v>112</v>
      </c>
      <c r="H10" s="2"/>
      <c r="I10" s="3" t="n">
        <v>2</v>
      </c>
      <c r="J10" s="2" t="n">
        <v>1</v>
      </c>
      <c r="K10" s="4" t="n">
        <v>840</v>
      </c>
      <c r="L10" s="5" t="n">
        <v>15</v>
      </c>
      <c r="M10" s="5" t="n">
        <v>56</v>
      </c>
      <c r="N10" s="2" t="s">
        <v>43</v>
      </c>
      <c r="O10" s="2" t="s">
        <v>113</v>
      </c>
      <c r="P10" s="6" t="s">
        <v>45</v>
      </c>
      <c r="Q10" s="2"/>
      <c r="R10" s="7"/>
      <c r="S10" s="2" t="str">
        <f aca="false">IF(COUNTA(U10:W10)&gt;0,"Yes","No")</f>
        <v>No</v>
      </c>
      <c r="T10" s="2" t="s">
        <v>114</v>
      </c>
      <c r="U10" s="2"/>
      <c r="V10" s="2"/>
      <c r="W10" s="2"/>
      <c r="X10" s="2" t="s">
        <v>115</v>
      </c>
      <c r="Y10" s="2" t="s">
        <v>116</v>
      </c>
      <c r="Z10" s="2" t="s">
        <v>117</v>
      </c>
      <c r="AA10" s="2" t="s">
        <v>51</v>
      </c>
      <c r="AB10" s="2" t="s">
        <v>52</v>
      </c>
      <c r="AC10" s="2" t="s">
        <v>53</v>
      </c>
      <c r="AD10" s="2" t="s">
        <v>54</v>
      </c>
      <c r="AE10" s="2" t="s">
        <v>55</v>
      </c>
      <c r="AF10" s="2" t="s">
        <v>45</v>
      </c>
      <c r="AG10" s="2" t="s">
        <v>45</v>
      </c>
      <c r="AH10" s="2" t="s">
        <v>45</v>
      </c>
      <c r="AI10" s="2" t="n">
        <f aca="false">COUNTIF('Needs review'!$A:$A,B10)</f>
        <v>0</v>
      </c>
    </row>
    <row r="11" customFormat="false" ht="15" hidden="false" customHeight="false" outlineLevel="0" collapsed="false">
      <c r="A11" s="2" t="s">
        <v>118</v>
      </c>
      <c r="B11" s="2" t="s">
        <v>119</v>
      </c>
      <c r="C11" s="2" t="s">
        <v>37</v>
      </c>
      <c r="D11" s="2" t="s">
        <v>38</v>
      </c>
      <c r="E11" s="2" t="s">
        <v>39</v>
      </c>
      <c r="F11" s="2" t="s">
        <v>40</v>
      </c>
      <c r="G11" s="2" t="s">
        <v>120</v>
      </c>
      <c r="H11" s="2"/>
      <c r="I11" s="3" t="n">
        <v>3</v>
      </c>
      <c r="J11" s="2" t="n">
        <v>2</v>
      </c>
      <c r="K11" s="4" t="n">
        <v>864</v>
      </c>
      <c r="L11" s="5" t="n">
        <v>24</v>
      </c>
      <c r="M11" s="5" t="n">
        <v>68</v>
      </c>
      <c r="N11" s="2" t="s">
        <v>65</v>
      </c>
      <c r="O11" s="2" t="s">
        <v>121</v>
      </c>
      <c r="P11" s="6" t="s">
        <v>122</v>
      </c>
      <c r="Q11" s="2" t="s">
        <v>123</v>
      </c>
      <c r="R11" s="7"/>
      <c r="S11" s="2" t="str">
        <f aca="false">IF(COUNTA(U11:W11)&gt;0,"Yes","No")</f>
        <v>No</v>
      </c>
      <c r="T11" s="2" t="s">
        <v>124</v>
      </c>
      <c r="U11" s="2"/>
      <c r="V11" s="2"/>
      <c r="W11" s="2"/>
      <c r="X11" s="2" t="s">
        <v>125</v>
      </c>
      <c r="Y11" s="2" t="s">
        <v>126</v>
      </c>
      <c r="Z11" s="2" t="s">
        <v>127</v>
      </c>
      <c r="AA11" s="2" t="s">
        <v>51</v>
      </c>
      <c r="AB11" s="2" t="s">
        <v>52</v>
      </c>
      <c r="AC11" s="2" t="s">
        <v>53</v>
      </c>
      <c r="AD11" s="2" t="s">
        <v>54</v>
      </c>
      <c r="AE11" s="2" t="s">
        <v>55</v>
      </c>
      <c r="AF11" s="2" t="s">
        <v>45</v>
      </c>
      <c r="AG11" s="2" t="s">
        <v>45</v>
      </c>
      <c r="AH11" s="2" t="s">
        <v>45</v>
      </c>
      <c r="AI11" s="2" t="n">
        <f aca="false">COUNTIF('Needs review'!$A:$A,B11)</f>
        <v>2</v>
      </c>
    </row>
    <row r="12" customFormat="false" ht="15" hidden="false" customHeight="false" outlineLevel="0" collapsed="false">
      <c r="A12" s="2" t="s">
        <v>128</v>
      </c>
      <c r="B12" s="2" t="s">
        <v>129</v>
      </c>
      <c r="C12" s="2" t="s">
        <v>37</v>
      </c>
      <c r="D12" s="2" t="s">
        <v>38</v>
      </c>
      <c r="E12" s="2" t="s">
        <v>39</v>
      </c>
      <c r="F12" s="2" t="s">
        <v>40</v>
      </c>
      <c r="G12" s="2" t="s">
        <v>130</v>
      </c>
      <c r="H12" s="2"/>
      <c r="I12" s="3" t="n">
        <v>2</v>
      </c>
      <c r="J12" s="2" t="n">
        <v>2</v>
      </c>
      <c r="K12" s="4" t="n">
        <v>891</v>
      </c>
      <c r="L12" s="5" t="n">
        <v>14</v>
      </c>
      <c r="M12" s="5" t="n">
        <v>66</v>
      </c>
      <c r="N12" s="2" t="s">
        <v>43</v>
      </c>
      <c r="O12" s="2" t="s">
        <v>44</v>
      </c>
      <c r="P12" s="6" t="s">
        <v>45</v>
      </c>
      <c r="Q12" s="2"/>
      <c r="R12" s="7"/>
      <c r="S12" s="2" t="str">
        <f aca="false">IF(COUNTA(U12:W12)&gt;0,"Yes","No")</f>
        <v>No</v>
      </c>
      <c r="T12" s="2" t="s">
        <v>131</v>
      </c>
      <c r="U12" s="2"/>
      <c r="V12" s="2"/>
      <c r="W12" s="2"/>
      <c r="X12" s="2" t="s">
        <v>132</v>
      </c>
      <c r="Y12" s="2" t="s">
        <v>133</v>
      </c>
      <c r="Z12" s="2" t="s">
        <v>134</v>
      </c>
      <c r="AA12" s="2" t="s">
        <v>51</v>
      </c>
      <c r="AB12" s="2" t="s">
        <v>52</v>
      </c>
      <c r="AC12" s="2" t="s">
        <v>53</v>
      </c>
      <c r="AD12" s="2" t="s">
        <v>54</v>
      </c>
      <c r="AE12" s="2" t="s">
        <v>55</v>
      </c>
      <c r="AF12" s="2" t="s">
        <v>45</v>
      </c>
      <c r="AG12" s="2" t="s">
        <v>45</v>
      </c>
      <c r="AH12" s="2" t="s">
        <v>45</v>
      </c>
      <c r="AI12" s="2" t="n">
        <f aca="false">COUNTIF('Needs review'!$A:$A,B12)</f>
        <v>0</v>
      </c>
    </row>
    <row r="13" customFormat="false" ht="15" hidden="false" customHeight="false" outlineLevel="0" collapsed="false">
      <c r="A13" s="2" t="s">
        <v>135</v>
      </c>
      <c r="B13" s="2" t="s">
        <v>136</v>
      </c>
      <c r="C13" s="2" t="s">
        <v>37</v>
      </c>
      <c r="D13" s="2" t="s">
        <v>38</v>
      </c>
      <c r="E13" s="2" t="s">
        <v>39</v>
      </c>
      <c r="F13" s="2" t="s">
        <v>40</v>
      </c>
      <c r="G13" s="2" t="s">
        <v>137</v>
      </c>
      <c r="H13" s="2"/>
      <c r="I13" s="3" t="n">
        <v>3</v>
      </c>
      <c r="J13" s="2" t="n">
        <v>2</v>
      </c>
      <c r="K13" s="4" t="n">
        <v>900</v>
      </c>
      <c r="L13" s="5" t="n">
        <v>24</v>
      </c>
      <c r="M13" s="5" t="n">
        <v>38</v>
      </c>
      <c r="N13" s="2" t="s">
        <v>65</v>
      </c>
      <c r="O13" s="2" t="s">
        <v>121</v>
      </c>
      <c r="P13" s="6" t="s">
        <v>45</v>
      </c>
      <c r="Q13" s="2"/>
      <c r="R13" s="7"/>
      <c r="S13" s="2" t="str">
        <f aca="false">IF(COUNTA(U13:W13)&gt;0,"Yes","No")</f>
        <v>Yes</v>
      </c>
      <c r="T13" s="2" t="s">
        <v>138</v>
      </c>
      <c r="U13" s="2" t="s">
        <v>139</v>
      </c>
      <c r="V13" s="2"/>
      <c r="W13" s="2"/>
      <c r="X13" s="2" t="s">
        <v>140</v>
      </c>
      <c r="Y13" s="2" t="s">
        <v>141</v>
      </c>
      <c r="Z13" s="2" t="s">
        <v>142</v>
      </c>
      <c r="AA13" s="2" t="s">
        <v>51</v>
      </c>
      <c r="AB13" s="2" t="s">
        <v>52</v>
      </c>
      <c r="AC13" s="2" t="s">
        <v>53</v>
      </c>
      <c r="AD13" s="2" t="s">
        <v>54</v>
      </c>
      <c r="AE13" s="2" t="s">
        <v>55</v>
      </c>
      <c r="AF13" s="2" t="s">
        <v>45</v>
      </c>
      <c r="AG13" s="2" t="s">
        <v>45</v>
      </c>
      <c r="AH13" s="2" t="s">
        <v>45</v>
      </c>
      <c r="AI13" s="2" t="n">
        <f aca="false">COUNTIF('Needs review'!$A:$A,B13)</f>
        <v>0</v>
      </c>
    </row>
    <row r="14" customFormat="false" ht="15" hidden="false" customHeight="false" outlineLevel="0" collapsed="false">
      <c r="A14" s="2" t="s">
        <v>143</v>
      </c>
      <c r="B14" s="2" t="s">
        <v>144</v>
      </c>
      <c r="C14" s="2" t="s">
        <v>37</v>
      </c>
      <c r="D14" s="2" t="s">
        <v>38</v>
      </c>
      <c r="E14" s="2" t="s">
        <v>39</v>
      </c>
      <c r="F14" s="2" t="s">
        <v>40</v>
      </c>
      <c r="G14" s="2" t="s">
        <v>145</v>
      </c>
      <c r="H14" s="2"/>
      <c r="I14" s="3" t="n">
        <v>2</v>
      </c>
      <c r="J14" s="2" t="n">
        <v>2</v>
      </c>
      <c r="K14" s="4" t="n">
        <v>900</v>
      </c>
      <c r="L14" s="5" t="n">
        <v>24</v>
      </c>
      <c r="M14" s="5" t="n">
        <v>38</v>
      </c>
      <c r="N14" s="2" t="s">
        <v>65</v>
      </c>
      <c r="O14" s="2" t="s">
        <v>121</v>
      </c>
      <c r="P14" s="6" t="s">
        <v>45</v>
      </c>
      <c r="Q14" s="2"/>
      <c r="R14" s="7"/>
      <c r="S14" s="2" t="str">
        <f aca="false">IF(COUNTA(U14:W14)&gt;0,"Yes","No")</f>
        <v>Yes</v>
      </c>
      <c r="T14" s="2" t="s">
        <v>146</v>
      </c>
      <c r="U14" s="2" t="s">
        <v>147</v>
      </c>
      <c r="V14" s="2"/>
      <c r="W14" s="2"/>
      <c r="X14" s="2" t="s">
        <v>148</v>
      </c>
      <c r="Y14" s="2" t="s">
        <v>149</v>
      </c>
      <c r="Z14" s="2" t="s">
        <v>150</v>
      </c>
      <c r="AA14" s="2" t="s">
        <v>51</v>
      </c>
      <c r="AB14" s="2" t="s">
        <v>52</v>
      </c>
      <c r="AC14" s="2" t="s">
        <v>53</v>
      </c>
      <c r="AD14" s="2" t="s">
        <v>54</v>
      </c>
      <c r="AE14" s="2" t="s">
        <v>55</v>
      </c>
      <c r="AF14" s="2" t="s">
        <v>45</v>
      </c>
      <c r="AG14" s="2" t="s">
        <v>45</v>
      </c>
      <c r="AH14" s="2" t="s">
        <v>45</v>
      </c>
      <c r="AI14" s="2" t="n">
        <f aca="false">COUNTIF('Needs review'!$A:$A,B14)</f>
        <v>0</v>
      </c>
    </row>
    <row r="15" customFormat="false" ht="15" hidden="false" customHeight="false" outlineLevel="0" collapsed="false">
      <c r="A15" s="2" t="s">
        <v>151</v>
      </c>
      <c r="B15" s="2" t="s">
        <v>152</v>
      </c>
      <c r="C15" s="2" t="s">
        <v>37</v>
      </c>
      <c r="D15" s="2" t="s">
        <v>38</v>
      </c>
      <c r="E15" s="2" t="s">
        <v>39</v>
      </c>
      <c r="F15" s="2" t="s">
        <v>40</v>
      </c>
      <c r="G15" s="2" t="s">
        <v>153</v>
      </c>
      <c r="H15" s="2"/>
      <c r="I15" s="3" t="n">
        <v>2</v>
      </c>
      <c r="J15" s="2" t="n">
        <v>2</v>
      </c>
      <c r="K15" s="4" t="n">
        <v>900</v>
      </c>
      <c r="L15" s="5" t="n">
        <v>15</v>
      </c>
      <c r="M15" s="5" t="n">
        <v>60</v>
      </c>
      <c r="N15" s="2" t="s">
        <v>43</v>
      </c>
      <c r="O15" s="2" t="s">
        <v>113</v>
      </c>
      <c r="P15" s="6" t="s">
        <v>45</v>
      </c>
      <c r="Q15" s="2"/>
      <c r="R15" s="7"/>
      <c r="S15" s="2" t="str">
        <f aca="false">IF(COUNTA(U15:W15)&gt;0,"Yes","No")</f>
        <v>Yes</v>
      </c>
      <c r="T15" s="2" t="s">
        <v>154</v>
      </c>
      <c r="U15" s="2" t="s">
        <v>155</v>
      </c>
      <c r="V15" s="2"/>
      <c r="W15" s="2"/>
      <c r="X15" s="2" t="s">
        <v>156</v>
      </c>
      <c r="Y15" s="2" t="s">
        <v>157</v>
      </c>
      <c r="Z15" s="2" t="s">
        <v>158</v>
      </c>
      <c r="AA15" s="2" t="s">
        <v>51</v>
      </c>
      <c r="AB15" s="2" t="s">
        <v>52</v>
      </c>
      <c r="AC15" s="2" t="s">
        <v>53</v>
      </c>
      <c r="AD15" s="2" t="s">
        <v>54</v>
      </c>
      <c r="AE15" s="2" t="s">
        <v>55</v>
      </c>
      <c r="AF15" s="2" t="s">
        <v>45</v>
      </c>
      <c r="AG15" s="2" t="s">
        <v>45</v>
      </c>
      <c r="AH15" s="2" t="s">
        <v>45</v>
      </c>
      <c r="AI15" s="2" t="n">
        <f aca="false">COUNTIF('Needs review'!$A:$A,B15)</f>
        <v>0</v>
      </c>
    </row>
    <row r="16" customFormat="false" ht="15" hidden="false" customHeight="false" outlineLevel="0" collapsed="false">
      <c r="A16" s="2" t="s">
        <v>159</v>
      </c>
      <c r="B16" s="2" t="s">
        <v>160</v>
      </c>
      <c r="C16" s="2" t="s">
        <v>37</v>
      </c>
      <c r="D16" s="2" t="s">
        <v>38</v>
      </c>
      <c r="E16" s="2" t="s">
        <v>39</v>
      </c>
      <c r="F16" s="2" t="s">
        <v>40</v>
      </c>
      <c r="G16" s="2" t="s">
        <v>161</v>
      </c>
      <c r="H16" s="2"/>
      <c r="I16" s="3" t="n">
        <v>2</v>
      </c>
      <c r="J16" s="2" t="n">
        <v>2</v>
      </c>
      <c r="K16" s="4" t="n">
        <v>944</v>
      </c>
      <c r="L16" s="5" t="n">
        <v>20</v>
      </c>
      <c r="M16" s="5" t="n">
        <v>48</v>
      </c>
      <c r="N16" s="2" t="s">
        <v>65</v>
      </c>
      <c r="O16" s="2" t="s">
        <v>66</v>
      </c>
      <c r="P16" s="6" t="s">
        <v>45</v>
      </c>
      <c r="Q16" s="2"/>
      <c r="R16" s="7"/>
      <c r="S16" s="2" t="str">
        <f aca="false">IF(COUNTA(U16:W16)&gt;0,"Yes","No")</f>
        <v>Yes</v>
      </c>
      <c r="T16" s="2" t="s">
        <v>162</v>
      </c>
      <c r="U16" s="2" t="s">
        <v>163</v>
      </c>
      <c r="V16" s="2"/>
      <c r="W16" s="2"/>
      <c r="X16" s="2" t="s">
        <v>164</v>
      </c>
      <c r="Y16" s="2" t="s">
        <v>165</v>
      </c>
      <c r="Z16" s="2" t="s">
        <v>166</v>
      </c>
      <c r="AA16" s="2" t="s">
        <v>51</v>
      </c>
      <c r="AB16" s="2" t="s">
        <v>52</v>
      </c>
      <c r="AC16" s="2" t="s">
        <v>53</v>
      </c>
      <c r="AD16" s="2" t="s">
        <v>54</v>
      </c>
      <c r="AE16" s="2" t="s">
        <v>55</v>
      </c>
      <c r="AF16" s="2" t="s">
        <v>45</v>
      </c>
      <c r="AG16" s="2" t="s">
        <v>45</v>
      </c>
      <c r="AH16" s="2" t="s">
        <v>45</v>
      </c>
      <c r="AI16" s="2" t="n">
        <f aca="false">COUNTIF('Needs review'!$A:$A,B16)</f>
        <v>0</v>
      </c>
    </row>
    <row r="17" customFormat="false" ht="15" hidden="false" customHeight="false" outlineLevel="0" collapsed="false">
      <c r="A17" s="2" t="s">
        <v>167</v>
      </c>
      <c r="B17" s="2" t="s">
        <v>168</v>
      </c>
      <c r="C17" s="2" t="s">
        <v>37</v>
      </c>
      <c r="D17" s="2" t="s">
        <v>38</v>
      </c>
      <c r="E17" s="2" t="s">
        <v>39</v>
      </c>
      <c r="F17" s="2" t="s">
        <v>40</v>
      </c>
      <c r="G17" s="2" t="s">
        <v>169</v>
      </c>
      <c r="H17" s="2"/>
      <c r="I17" s="3" t="n">
        <v>3</v>
      </c>
      <c r="J17" s="2" t="n">
        <v>2</v>
      </c>
      <c r="K17" s="4" t="n">
        <v>990</v>
      </c>
      <c r="L17" s="5" t="n">
        <v>15</v>
      </c>
      <c r="M17" s="5" t="n">
        <v>66</v>
      </c>
      <c r="N17" s="2" t="s">
        <v>43</v>
      </c>
      <c r="O17" s="2" t="s">
        <v>113</v>
      </c>
      <c r="P17" s="6" t="s">
        <v>45</v>
      </c>
      <c r="Q17" s="2"/>
      <c r="R17" s="7"/>
      <c r="S17" s="2" t="str">
        <f aca="false">IF(COUNTA(U17:W17)&gt;0,"Yes","No")</f>
        <v>No</v>
      </c>
      <c r="T17" s="2" t="s">
        <v>170</v>
      </c>
      <c r="U17" s="2"/>
      <c r="V17" s="2"/>
      <c r="W17" s="2"/>
      <c r="X17" s="2" t="s">
        <v>171</v>
      </c>
      <c r="Y17" s="2" t="s">
        <v>172</v>
      </c>
      <c r="Z17" s="2" t="s">
        <v>173</v>
      </c>
      <c r="AA17" s="2" t="s">
        <v>51</v>
      </c>
      <c r="AB17" s="2" t="s">
        <v>52</v>
      </c>
      <c r="AC17" s="2" t="s">
        <v>53</v>
      </c>
      <c r="AD17" s="2" t="s">
        <v>54</v>
      </c>
      <c r="AE17" s="2" t="s">
        <v>55</v>
      </c>
      <c r="AF17" s="2" t="s">
        <v>45</v>
      </c>
      <c r="AG17" s="2" t="s">
        <v>45</v>
      </c>
      <c r="AH17" s="2" t="s">
        <v>45</v>
      </c>
      <c r="AI17" s="2" t="n">
        <f aca="false">COUNTIF('Needs review'!$A:$A,B17)</f>
        <v>0</v>
      </c>
    </row>
    <row r="18" customFormat="false" ht="15" hidden="false" customHeight="false" outlineLevel="0" collapsed="false">
      <c r="A18" s="2" t="s">
        <v>174</v>
      </c>
      <c r="B18" s="2" t="s">
        <v>175</v>
      </c>
      <c r="C18" s="2" t="s">
        <v>37</v>
      </c>
      <c r="D18" s="2" t="s">
        <v>38</v>
      </c>
      <c r="E18" s="2" t="s">
        <v>39</v>
      </c>
      <c r="F18" s="2" t="s">
        <v>40</v>
      </c>
      <c r="G18" s="2" t="s">
        <v>176</v>
      </c>
      <c r="H18" s="2"/>
      <c r="I18" s="3" t="n">
        <v>3</v>
      </c>
      <c r="J18" s="2" t="n">
        <v>2</v>
      </c>
      <c r="K18" s="4" t="n">
        <v>1101</v>
      </c>
      <c r="L18" s="5" t="n">
        <v>20</v>
      </c>
      <c r="M18" s="5" t="n">
        <v>56</v>
      </c>
      <c r="N18" s="2" t="s">
        <v>65</v>
      </c>
      <c r="O18" s="2" t="s">
        <v>66</v>
      </c>
      <c r="P18" s="6" t="s">
        <v>45</v>
      </c>
      <c r="Q18" s="2"/>
      <c r="R18" s="7"/>
      <c r="S18" s="2" t="str">
        <f aca="false">IF(COUNTA(U18:W18)&gt;0,"Yes","No")</f>
        <v>No</v>
      </c>
      <c r="T18" s="2" t="s">
        <v>177</v>
      </c>
      <c r="U18" s="2"/>
      <c r="V18" s="2"/>
      <c r="W18" s="2"/>
      <c r="X18" s="2" t="s">
        <v>178</v>
      </c>
      <c r="Y18" s="2" t="s">
        <v>179</v>
      </c>
      <c r="Z18" s="2" t="s">
        <v>180</v>
      </c>
      <c r="AA18" s="2" t="s">
        <v>51</v>
      </c>
      <c r="AB18" s="2" t="s">
        <v>52</v>
      </c>
      <c r="AC18" s="2" t="s">
        <v>53</v>
      </c>
      <c r="AD18" s="2" t="s">
        <v>54</v>
      </c>
      <c r="AE18" s="2" t="s">
        <v>55</v>
      </c>
      <c r="AF18" s="2" t="s">
        <v>45</v>
      </c>
      <c r="AG18" s="2" t="s">
        <v>45</v>
      </c>
      <c r="AH18" s="2" t="s">
        <v>45</v>
      </c>
      <c r="AI18" s="2" t="n">
        <f aca="false">COUNTIF('Needs review'!$A:$A,B18)</f>
        <v>0</v>
      </c>
    </row>
    <row r="19" customFormat="false" ht="15" hidden="false" customHeight="false" outlineLevel="0" collapsed="false">
      <c r="A19" s="2" t="s">
        <v>181</v>
      </c>
      <c r="B19" s="2" t="s">
        <v>182</v>
      </c>
      <c r="C19" s="2" t="s">
        <v>37</v>
      </c>
      <c r="D19" s="2" t="s">
        <v>38</v>
      </c>
      <c r="E19" s="2" t="s">
        <v>39</v>
      </c>
      <c r="F19" s="2" t="s">
        <v>40</v>
      </c>
      <c r="G19" s="2" t="s">
        <v>183</v>
      </c>
      <c r="H19" s="2"/>
      <c r="I19" s="3" t="n">
        <v>2</v>
      </c>
      <c r="J19" s="2" t="n">
        <v>2</v>
      </c>
      <c r="K19" s="4" t="n">
        <v>1152</v>
      </c>
      <c r="L19" s="5" t="n">
        <v>24</v>
      </c>
      <c r="M19" s="5" t="n">
        <v>48</v>
      </c>
      <c r="N19" s="2" t="s">
        <v>65</v>
      </c>
      <c r="O19" s="2" t="s">
        <v>121</v>
      </c>
      <c r="P19" s="6" t="s">
        <v>45</v>
      </c>
      <c r="Q19" s="2"/>
      <c r="R19" s="7"/>
      <c r="S19" s="2" t="str">
        <f aca="false">IF(COUNTA(U19:W19)&gt;0,"Yes","No")</f>
        <v>No</v>
      </c>
      <c r="T19" s="2" t="s">
        <v>184</v>
      </c>
      <c r="U19" s="2"/>
      <c r="V19" s="2"/>
      <c r="W19" s="2"/>
      <c r="X19" s="2" t="s">
        <v>185</v>
      </c>
      <c r="Y19" s="2" t="s">
        <v>186</v>
      </c>
      <c r="Z19" s="2" t="s">
        <v>187</v>
      </c>
      <c r="AA19" s="2" t="s">
        <v>51</v>
      </c>
      <c r="AB19" s="2" t="s">
        <v>52</v>
      </c>
      <c r="AC19" s="2" t="s">
        <v>53</v>
      </c>
      <c r="AD19" s="2" t="s">
        <v>54</v>
      </c>
      <c r="AE19" s="2" t="s">
        <v>55</v>
      </c>
      <c r="AF19" s="2" t="s">
        <v>45</v>
      </c>
      <c r="AG19" s="2" t="s">
        <v>45</v>
      </c>
      <c r="AH19" s="2" t="s">
        <v>45</v>
      </c>
      <c r="AI19" s="2" t="n">
        <f aca="false">COUNTIF('Needs review'!$A:$A,B19)</f>
        <v>0</v>
      </c>
    </row>
    <row r="20" customFormat="false" ht="15" hidden="false" customHeight="false" outlineLevel="0" collapsed="false">
      <c r="A20" s="2" t="s">
        <v>188</v>
      </c>
      <c r="B20" s="2" t="s">
        <v>189</v>
      </c>
      <c r="C20" s="2" t="s">
        <v>37</v>
      </c>
      <c r="D20" s="2" t="s">
        <v>38</v>
      </c>
      <c r="E20" s="2" t="s">
        <v>39</v>
      </c>
      <c r="F20" s="2" t="s">
        <v>40</v>
      </c>
      <c r="G20" s="2" t="s">
        <v>190</v>
      </c>
      <c r="H20" s="2"/>
      <c r="I20" s="3" t="n">
        <v>2</v>
      </c>
      <c r="J20" s="2" t="n">
        <v>2</v>
      </c>
      <c r="K20" s="4" t="n">
        <v>1176</v>
      </c>
      <c r="L20" s="5" t="n">
        <v>24</v>
      </c>
      <c r="M20" s="5" t="n">
        <v>50</v>
      </c>
      <c r="N20" s="2" t="s">
        <v>65</v>
      </c>
      <c r="O20" s="2" t="s">
        <v>121</v>
      </c>
      <c r="P20" s="6" t="s">
        <v>45</v>
      </c>
      <c r="Q20" s="2"/>
      <c r="R20" s="7"/>
      <c r="S20" s="2" t="str">
        <f aca="false">IF(COUNTA(U20:W20)&gt;0,"Yes","No")</f>
        <v>No</v>
      </c>
      <c r="T20" s="2" t="s">
        <v>191</v>
      </c>
      <c r="U20" s="2"/>
      <c r="V20" s="2"/>
      <c r="W20" s="2"/>
      <c r="X20" s="2" t="s">
        <v>192</v>
      </c>
      <c r="Y20" s="2" t="s">
        <v>193</v>
      </c>
      <c r="Z20" s="2" t="s">
        <v>194</v>
      </c>
      <c r="AA20" s="2" t="s">
        <v>51</v>
      </c>
      <c r="AB20" s="2" t="s">
        <v>52</v>
      </c>
      <c r="AC20" s="2" t="s">
        <v>53</v>
      </c>
      <c r="AD20" s="2" t="s">
        <v>54</v>
      </c>
      <c r="AE20" s="2" t="s">
        <v>55</v>
      </c>
      <c r="AF20" s="2" t="s">
        <v>45</v>
      </c>
      <c r="AG20" s="2" t="s">
        <v>45</v>
      </c>
      <c r="AH20" s="2" t="s">
        <v>45</v>
      </c>
      <c r="AI20" s="2" t="n">
        <f aca="false">COUNTIF('Needs review'!$A:$A,B20)</f>
        <v>1</v>
      </c>
    </row>
    <row r="21" customFormat="false" ht="15" hidden="false" customHeight="false" outlineLevel="0" collapsed="false">
      <c r="A21" s="2" t="s">
        <v>195</v>
      </c>
      <c r="B21" s="2" t="s">
        <v>196</v>
      </c>
      <c r="C21" s="2" t="s">
        <v>37</v>
      </c>
      <c r="D21" s="2" t="s">
        <v>38</v>
      </c>
      <c r="E21" s="2" t="s">
        <v>39</v>
      </c>
      <c r="F21" s="2" t="s">
        <v>40</v>
      </c>
      <c r="G21" s="2" t="s">
        <v>197</v>
      </c>
      <c r="H21" s="2"/>
      <c r="I21" s="3" t="n">
        <v>3</v>
      </c>
      <c r="J21" s="2" t="n">
        <v>2</v>
      </c>
      <c r="K21" s="4" t="n">
        <v>1188</v>
      </c>
      <c r="L21" s="5" t="n">
        <v>27</v>
      </c>
      <c r="M21" s="5" t="n">
        <v>44</v>
      </c>
      <c r="N21" s="2" t="s">
        <v>65</v>
      </c>
      <c r="O21" s="2" t="s">
        <v>198</v>
      </c>
      <c r="P21" s="6" t="s">
        <v>45</v>
      </c>
      <c r="Q21" s="2"/>
      <c r="R21" s="7"/>
      <c r="S21" s="2" t="str">
        <f aca="false">IF(COUNTA(U21:W21)&gt;0,"Yes","No")</f>
        <v>Yes</v>
      </c>
      <c r="T21" s="2" t="s">
        <v>199</v>
      </c>
      <c r="U21" s="2" t="s">
        <v>200</v>
      </c>
      <c r="V21" s="2"/>
      <c r="W21" s="2"/>
      <c r="X21" s="2" t="s">
        <v>201</v>
      </c>
      <c r="Y21" s="2" t="s">
        <v>202</v>
      </c>
      <c r="Z21" s="2" t="s">
        <v>203</v>
      </c>
      <c r="AA21" s="2" t="s">
        <v>51</v>
      </c>
      <c r="AB21" s="2" t="s">
        <v>52</v>
      </c>
      <c r="AC21" s="2" t="s">
        <v>53</v>
      </c>
      <c r="AD21" s="2" t="s">
        <v>54</v>
      </c>
      <c r="AE21" s="2" t="s">
        <v>55</v>
      </c>
      <c r="AF21" s="2" t="s">
        <v>45</v>
      </c>
      <c r="AG21" s="2" t="s">
        <v>45</v>
      </c>
      <c r="AH21" s="2" t="s">
        <v>45</v>
      </c>
      <c r="AI21" s="2" t="n">
        <f aca="false">COUNTIF('Needs review'!$A:$A,B21)</f>
        <v>0</v>
      </c>
    </row>
    <row r="22" customFormat="false" ht="15" hidden="false" customHeight="false" outlineLevel="0" collapsed="false">
      <c r="A22" s="2" t="s">
        <v>204</v>
      </c>
      <c r="B22" s="2" t="s">
        <v>205</v>
      </c>
      <c r="C22" s="2" t="s">
        <v>37</v>
      </c>
      <c r="D22" s="2" t="s">
        <v>38</v>
      </c>
      <c r="E22" s="2" t="s">
        <v>39</v>
      </c>
      <c r="F22" s="2" t="s">
        <v>40</v>
      </c>
      <c r="G22" s="2" t="s">
        <v>206</v>
      </c>
      <c r="H22" s="2"/>
      <c r="I22" s="3" t="n">
        <v>2</v>
      </c>
      <c r="J22" s="2" t="n">
        <v>2</v>
      </c>
      <c r="K22" s="4" t="n">
        <v>1188</v>
      </c>
      <c r="L22" s="5" t="n">
        <v>27</v>
      </c>
      <c r="M22" s="5" t="n">
        <v>44</v>
      </c>
      <c r="N22" s="2" t="s">
        <v>65</v>
      </c>
      <c r="O22" s="2" t="s">
        <v>198</v>
      </c>
      <c r="P22" s="6" t="s">
        <v>45</v>
      </c>
      <c r="Q22" s="2"/>
      <c r="R22" s="7"/>
      <c r="S22" s="2" t="str">
        <f aca="false">IF(COUNTA(U22:W22)&gt;0,"Yes","No")</f>
        <v>Yes</v>
      </c>
      <c r="T22" s="2" t="s">
        <v>207</v>
      </c>
      <c r="U22" s="2" t="s">
        <v>208</v>
      </c>
      <c r="V22" s="2"/>
      <c r="W22" s="2"/>
      <c r="X22" s="2" t="s">
        <v>209</v>
      </c>
      <c r="Y22" s="2" t="s">
        <v>210</v>
      </c>
      <c r="Z22" s="2" t="s">
        <v>211</v>
      </c>
      <c r="AA22" s="2" t="s">
        <v>51</v>
      </c>
      <c r="AB22" s="2" t="s">
        <v>52</v>
      </c>
      <c r="AC22" s="2" t="s">
        <v>53</v>
      </c>
      <c r="AD22" s="2" t="s">
        <v>54</v>
      </c>
      <c r="AE22" s="2" t="s">
        <v>55</v>
      </c>
      <c r="AF22" s="2" t="s">
        <v>45</v>
      </c>
      <c r="AG22" s="2" t="s">
        <v>45</v>
      </c>
      <c r="AH22" s="2" t="s">
        <v>45</v>
      </c>
      <c r="AI22" s="2" t="n">
        <f aca="false">COUNTIF('Needs review'!$A:$A,B22)</f>
        <v>0</v>
      </c>
    </row>
    <row r="23" customFormat="false" ht="15" hidden="false" customHeight="false" outlineLevel="0" collapsed="false">
      <c r="A23" s="2" t="s">
        <v>212</v>
      </c>
      <c r="B23" s="2" t="s">
        <v>213</v>
      </c>
      <c r="C23" s="2" t="s">
        <v>37</v>
      </c>
      <c r="D23" s="2" t="s">
        <v>38</v>
      </c>
      <c r="E23" s="2" t="s">
        <v>39</v>
      </c>
      <c r="F23" s="2" t="s">
        <v>40</v>
      </c>
      <c r="G23" s="2" t="s">
        <v>214</v>
      </c>
      <c r="H23" s="2"/>
      <c r="I23" s="3" t="n">
        <v>3</v>
      </c>
      <c r="J23" s="2" t="n">
        <v>2</v>
      </c>
      <c r="K23" s="4" t="n">
        <v>1296</v>
      </c>
      <c r="L23" s="5" t="n">
        <v>27</v>
      </c>
      <c r="M23" s="5" t="n">
        <v>48</v>
      </c>
      <c r="N23" s="2" t="s">
        <v>65</v>
      </c>
      <c r="O23" s="2" t="s">
        <v>198</v>
      </c>
      <c r="P23" s="6" t="s">
        <v>45</v>
      </c>
      <c r="Q23" s="2"/>
      <c r="R23" s="7"/>
      <c r="S23" s="2" t="str">
        <f aca="false">IF(COUNTA(U23:W23)&gt;0,"Yes","No")</f>
        <v>Yes</v>
      </c>
      <c r="T23" s="2" t="s">
        <v>215</v>
      </c>
      <c r="U23" s="2" t="s">
        <v>216</v>
      </c>
      <c r="V23" s="2"/>
      <c r="W23" s="2"/>
      <c r="X23" s="2" t="s">
        <v>217</v>
      </c>
      <c r="Y23" s="2" t="s">
        <v>218</v>
      </c>
      <c r="Z23" s="2" t="s">
        <v>219</v>
      </c>
      <c r="AA23" s="2" t="s">
        <v>51</v>
      </c>
      <c r="AB23" s="2" t="s">
        <v>52</v>
      </c>
      <c r="AC23" s="2" t="s">
        <v>53</v>
      </c>
      <c r="AD23" s="2" t="s">
        <v>54</v>
      </c>
      <c r="AE23" s="2" t="s">
        <v>55</v>
      </c>
      <c r="AF23" s="2" t="s">
        <v>45</v>
      </c>
      <c r="AG23" s="2" t="s">
        <v>45</v>
      </c>
      <c r="AH23" s="2" t="s">
        <v>45</v>
      </c>
      <c r="AI23" s="2" t="n">
        <f aca="false">COUNTIF('Needs review'!$A:$A,B23)</f>
        <v>0</v>
      </c>
    </row>
    <row r="24" customFormat="false" ht="15" hidden="false" customHeight="false" outlineLevel="0" collapsed="false">
      <c r="A24" s="2" t="s">
        <v>220</v>
      </c>
      <c r="B24" s="2" t="s">
        <v>221</v>
      </c>
      <c r="C24" s="2" t="s">
        <v>37</v>
      </c>
      <c r="D24" s="2" t="s">
        <v>38</v>
      </c>
      <c r="E24" s="2" t="s">
        <v>39</v>
      </c>
      <c r="F24" s="2" t="s">
        <v>40</v>
      </c>
      <c r="G24" s="2" t="s">
        <v>222</v>
      </c>
      <c r="H24" s="2"/>
      <c r="I24" s="3" t="n">
        <v>3</v>
      </c>
      <c r="J24" s="2" t="n">
        <v>2</v>
      </c>
      <c r="K24" s="4" t="n">
        <v>1296</v>
      </c>
      <c r="L24" s="5" t="n">
        <v>27</v>
      </c>
      <c r="M24" s="5" t="n">
        <v>48</v>
      </c>
      <c r="N24" s="2" t="s">
        <v>65</v>
      </c>
      <c r="O24" s="2" t="s">
        <v>198</v>
      </c>
      <c r="P24" s="6" t="s">
        <v>45</v>
      </c>
      <c r="Q24" s="2"/>
      <c r="R24" s="7"/>
      <c r="S24" s="2" t="str">
        <f aca="false">IF(COUNTA(U24:W24)&gt;0,"Yes","No")</f>
        <v>Yes</v>
      </c>
      <c r="T24" s="2" t="s">
        <v>223</v>
      </c>
      <c r="U24" s="2" t="s">
        <v>224</v>
      </c>
      <c r="V24" s="2" t="s">
        <v>225</v>
      </c>
      <c r="W24" s="2"/>
      <c r="X24" s="2" t="s">
        <v>226</v>
      </c>
      <c r="Y24" s="2" t="s">
        <v>227</v>
      </c>
      <c r="Z24" s="2" t="s">
        <v>228</v>
      </c>
      <c r="AA24" s="2" t="s">
        <v>51</v>
      </c>
      <c r="AB24" s="2" t="s">
        <v>52</v>
      </c>
      <c r="AC24" s="2" t="s">
        <v>53</v>
      </c>
      <c r="AD24" s="2" t="s">
        <v>54</v>
      </c>
      <c r="AE24" s="2" t="s">
        <v>55</v>
      </c>
      <c r="AF24" s="2" t="s">
        <v>45</v>
      </c>
      <c r="AG24" s="2" t="s">
        <v>45</v>
      </c>
      <c r="AH24" s="2" t="s">
        <v>45</v>
      </c>
      <c r="AI24" s="2" t="n">
        <f aca="false">COUNTIF('Needs review'!$A:$A,B24)</f>
        <v>0</v>
      </c>
    </row>
    <row r="25" customFormat="false" ht="15" hidden="false" customHeight="false" outlineLevel="0" collapsed="false">
      <c r="A25" s="2" t="s">
        <v>229</v>
      </c>
      <c r="B25" s="2" t="s">
        <v>230</v>
      </c>
      <c r="C25" s="2" t="s">
        <v>37</v>
      </c>
      <c r="D25" s="2" t="s">
        <v>38</v>
      </c>
      <c r="E25" s="2" t="s">
        <v>39</v>
      </c>
      <c r="F25" s="2" t="s">
        <v>40</v>
      </c>
      <c r="G25" s="2" t="s">
        <v>231</v>
      </c>
      <c r="H25" s="2"/>
      <c r="I25" s="3" t="n">
        <v>3</v>
      </c>
      <c r="J25" s="2" t="n">
        <v>2</v>
      </c>
      <c r="K25" s="4" t="n">
        <v>1296</v>
      </c>
      <c r="L25" s="5" t="n">
        <v>27</v>
      </c>
      <c r="M25" s="5" t="n">
        <v>48</v>
      </c>
      <c r="N25" s="2" t="s">
        <v>65</v>
      </c>
      <c r="O25" s="2" t="s">
        <v>198</v>
      </c>
      <c r="P25" s="6" t="s">
        <v>45</v>
      </c>
      <c r="Q25" s="2"/>
      <c r="R25" s="7"/>
      <c r="S25" s="2" t="str">
        <f aca="false">IF(COUNTA(U25:W25)&gt;0,"Yes","No")</f>
        <v>Yes</v>
      </c>
      <c r="T25" s="2" t="s">
        <v>232</v>
      </c>
      <c r="U25" s="2" t="s">
        <v>233</v>
      </c>
      <c r="V25" s="2"/>
      <c r="W25" s="2"/>
      <c r="X25" s="2" t="s">
        <v>234</v>
      </c>
      <c r="Y25" s="2" t="s">
        <v>235</v>
      </c>
      <c r="Z25" s="2" t="s">
        <v>236</v>
      </c>
      <c r="AA25" s="2" t="s">
        <v>51</v>
      </c>
      <c r="AB25" s="2" t="s">
        <v>52</v>
      </c>
      <c r="AC25" s="2" t="s">
        <v>53</v>
      </c>
      <c r="AD25" s="2" t="s">
        <v>54</v>
      </c>
      <c r="AE25" s="2" t="s">
        <v>55</v>
      </c>
      <c r="AF25" s="2" t="s">
        <v>45</v>
      </c>
      <c r="AG25" s="2" t="s">
        <v>45</v>
      </c>
      <c r="AH25" s="2" t="s">
        <v>45</v>
      </c>
      <c r="AI25" s="2" t="n">
        <f aca="false">COUNTIF('Needs review'!$A:$A,B25)</f>
        <v>0</v>
      </c>
    </row>
    <row r="26" customFormat="false" ht="15" hidden="false" customHeight="false" outlineLevel="0" collapsed="false">
      <c r="A26" s="2" t="s">
        <v>237</v>
      </c>
      <c r="B26" s="2" t="s">
        <v>238</v>
      </c>
      <c r="C26" s="2" t="s">
        <v>37</v>
      </c>
      <c r="D26" s="2" t="s">
        <v>38</v>
      </c>
      <c r="E26" s="2" t="s">
        <v>39</v>
      </c>
      <c r="F26" s="2" t="s">
        <v>40</v>
      </c>
      <c r="G26" s="2" t="s">
        <v>239</v>
      </c>
      <c r="H26" s="2"/>
      <c r="I26" s="3" t="n">
        <v>4</v>
      </c>
      <c r="J26" s="2" t="n">
        <v>2</v>
      </c>
      <c r="K26" s="4" t="n">
        <v>1296</v>
      </c>
      <c r="L26" s="5" t="n">
        <v>27</v>
      </c>
      <c r="M26" s="5" t="n">
        <v>48</v>
      </c>
      <c r="N26" s="2" t="s">
        <v>65</v>
      </c>
      <c r="O26" s="2" t="s">
        <v>198</v>
      </c>
      <c r="P26" s="6" t="s">
        <v>45</v>
      </c>
      <c r="Q26" s="2"/>
      <c r="R26" s="7"/>
      <c r="S26" s="2" t="str">
        <f aca="false">IF(COUNTA(U26:W26)&gt;0,"Yes","No")</f>
        <v>Yes</v>
      </c>
      <c r="T26" s="2" t="s">
        <v>240</v>
      </c>
      <c r="U26" s="2" t="s">
        <v>241</v>
      </c>
      <c r="V26" s="2"/>
      <c r="W26" s="2"/>
      <c r="X26" s="2" t="s">
        <v>242</v>
      </c>
      <c r="Y26" s="2" t="s">
        <v>243</v>
      </c>
      <c r="Z26" s="2" t="s">
        <v>244</v>
      </c>
      <c r="AA26" s="2" t="s">
        <v>51</v>
      </c>
      <c r="AB26" s="2" t="s">
        <v>52</v>
      </c>
      <c r="AC26" s="2" t="s">
        <v>53</v>
      </c>
      <c r="AD26" s="2" t="s">
        <v>54</v>
      </c>
      <c r="AE26" s="2" t="s">
        <v>55</v>
      </c>
      <c r="AF26" s="2" t="s">
        <v>45</v>
      </c>
      <c r="AG26" s="2" t="s">
        <v>45</v>
      </c>
      <c r="AH26" s="2" t="s">
        <v>45</v>
      </c>
      <c r="AI26" s="2" t="n">
        <f aca="false">COUNTIF('Needs review'!$A:$A,B26)</f>
        <v>1</v>
      </c>
    </row>
    <row r="27" customFormat="false" ht="15" hidden="false" customHeight="false" outlineLevel="0" collapsed="false">
      <c r="A27" s="2" t="s">
        <v>245</v>
      </c>
      <c r="B27" s="2" t="s">
        <v>246</v>
      </c>
      <c r="C27" s="2" t="s">
        <v>37</v>
      </c>
      <c r="D27" s="2" t="s">
        <v>38</v>
      </c>
      <c r="E27" s="2" t="s">
        <v>39</v>
      </c>
      <c r="F27" s="2" t="s">
        <v>40</v>
      </c>
      <c r="G27" s="2" t="s">
        <v>247</v>
      </c>
      <c r="H27" s="2"/>
      <c r="I27" s="3" t="n">
        <v>4</v>
      </c>
      <c r="J27" s="2" t="n">
        <v>2</v>
      </c>
      <c r="K27" s="4" t="n">
        <v>1296</v>
      </c>
      <c r="L27" s="5" t="n">
        <v>27</v>
      </c>
      <c r="M27" s="5" t="n">
        <v>48</v>
      </c>
      <c r="N27" s="2" t="s">
        <v>65</v>
      </c>
      <c r="O27" s="2" t="s">
        <v>198</v>
      </c>
      <c r="P27" s="6" t="s">
        <v>45</v>
      </c>
      <c r="Q27" s="2"/>
      <c r="R27" s="7"/>
      <c r="S27" s="2" t="str">
        <f aca="false">IF(COUNTA(U27:W27)&gt;0,"Yes","No")</f>
        <v>Yes</v>
      </c>
      <c r="T27" s="2" t="s">
        <v>248</v>
      </c>
      <c r="U27" s="2" t="s">
        <v>249</v>
      </c>
      <c r="V27" s="2"/>
      <c r="W27" s="2"/>
      <c r="X27" s="2" t="s">
        <v>250</v>
      </c>
      <c r="Y27" s="2" t="s">
        <v>251</v>
      </c>
      <c r="Z27" s="2" t="s">
        <v>252</v>
      </c>
      <c r="AA27" s="2" t="s">
        <v>51</v>
      </c>
      <c r="AB27" s="2" t="s">
        <v>52</v>
      </c>
      <c r="AC27" s="2" t="s">
        <v>53</v>
      </c>
      <c r="AD27" s="2" t="s">
        <v>54</v>
      </c>
      <c r="AE27" s="2" t="s">
        <v>55</v>
      </c>
      <c r="AF27" s="2" t="s">
        <v>45</v>
      </c>
      <c r="AG27" s="2" t="s">
        <v>45</v>
      </c>
      <c r="AH27" s="2" t="s">
        <v>45</v>
      </c>
      <c r="AI27" s="2" t="n">
        <f aca="false">COUNTIF('Needs review'!$A:$A,B27)</f>
        <v>0</v>
      </c>
    </row>
    <row r="28" customFormat="false" ht="15" hidden="false" customHeight="false" outlineLevel="0" collapsed="false">
      <c r="A28" s="2" t="s">
        <v>253</v>
      </c>
      <c r="B28" s="2" t="s">
        <v>254</v>
      </c>
      <c r="C28" s="2" t="s">
        <v>37</v>
      </c>
      <c r="D28" s="2" t="s">
        <v>38</v>
      </c>
      <c r="E28" s="2" t="s">
        <v>39</v>
      </c>
      <c r="F28" s="2" t="s">
        <v>40</v>
      </c>
      <c r="G28" s="2" t="s">
        <v>255</v>
      </c>
      <c r="H28" s="2"/>
      <c r="I28" s="3" t="n">
        <v>3</v>
      </c>
      <c r="J28" s="2" t="n">
        <v>2</v>
      </c>
      <c r="K28" s="4" t="n">
        <v>1404</v>
      </c>
      <c r="L28" s="5" t="n">
        <v>27</v>
      </c>
      <c r="M28" s="5"/>
      <c r="N28" s="2" t="s">
        <v>65</v>
      </c>
      <c r="O28" s="2" t="s">
        <v>198</v>
      </c>
      <c r="P28" s="6" t="s">
        <v>45</v>
      </c>
      <c r="Q28" s="2"/>
      <c r="R28" s="7"/>
      <c r="S28" s="2" t="str">
        <f aca="false">IF(COUNTA(U28:W28)&gt;0,"Yes","No")</f>
        <v>No</v>
      </c>
      <c r="T28" s="2" t="s">
        <v>256</v>
      </c>
      <c r="U28" s="2"/>
      <c r="V28" s="2"/>
      <c r="W28" s="2"/>
      <c r="X28" s="2" t="s">
        <v>257</v>
      </c>
      <c r="Y28" s="2" t="s">
        <v>258</v>
      </c>
      <c r="Z28" s="2" t="s">
        <v>259</v>
      </c>
      <c r="AA28" s="2" t="s">
        <v>51</v>
      </c>
      <c r="AB28" s="2" t="s">
        <v>52</v>
      </c>
      <c r="AC28" s="2" t="s">
        <v>53</v>
      </c>
      <c r="AD28" s="2" t="s">
        <v>54</v>
      </c>
      <c r="AE28" s="2" t="s">
        <v>55</v>
      </c>
      <c r="AF28" s="2" t="s">
        <v>45</v>
      </c>
      <c r="AG28" s="2" t="s">
        <v>45</v>
      </c>
      <c r="AH28" s="2" t="s">
        <v>45</v>
      </c>
      <c r="AI28" s="2" t="n">
        <f aca="false">COUNTIF('Needs review'!$A:$A,B28)</f>
        <v>0</v>
      </c>
    </row>
    <row r="29" customFormat="false" ht="15" hidden="false" customHeight="false" outlineLevel="0" collapsed="false">
      <c r="A29" s="2" t="s">
        <v>260</v>
      </c>
      <c r="B29" s="2" t="s">
        <v>261</v>
      </c>
      <c r="C29" s="2" t="s">
        <v>37</v>
      </c>
      <c r="D29" s="2" t="s">
        <v>38</v>
      </c>
      <c r="E29" s="2" t="s">
        <v>39</v>
      </c>
      <c r="F29" s="2" t="s">
        <v>40</v>
      </c>
      <c r="G29" s="2" t="s">
        <v>262</v>
      </c>
      <c r="H29" s="2"/>
      <c r="I29" s="3" t="n">
        <v>3</v>
      </c>
      <c r="J29" s="2" t="n">
        <v>2</v>
      </c>
      <c r="K29" s="4" t="n">
        <v>1512</v>
      </c>
      <c r="L29" s="5" t="n">
        <v>27</v>
      </c>
      <c r="M29" s="5" t="n">
        <v>56</v>
      </c>
      <c r="N29" s="2" t="s">
        <v>65</v>
      </c>
      <c r="O29" s="2" t="s">
        <v>198</v>
      </c>
      <c r="P29" s="6" t="s">
        <v>45</v>
      </c>
      <c r="Q29" s="2"/>
      <c r="R29" s="7"/>
      <c r="S29" s="2" t="str">
        <f aca="false">IF(COUNTA(U29:W29)&gt;0,"Yes","No")</f>
        <v>No</v>
      </c>
      <c r="T29" s="2" t="s">
        <v>263</v>
      </c>
      <c r="U29" s="2"/>
      <c r="V29" s="2"/>
      <c r="W29" s="2"/>
      <c r="X29" s="2" t="s">
        <v>264</v>
      </c>
      <c r="Y29" s="2" t="s">
        <v>265</v>
      </c>
      <c r="Z29" s="2" t="s">
        <v>266</v>
      </c>
      <c r="AA29" s="2" t="s">
        <v>51</v>
      </c>
      <c r="AB29" s="2" t="s">
        <v>52</v>
      </c>
      <c r="AC29" s="2" t="s">
        <v>53</v>
      </c>
      <c r="AD29" s="2" t="s">
        <v>54</v>
      </c>
      <c r="AE29" s="2" t="s">
        <v>55</v>
      </c>
      <c r="AF29" s="2" t="s">
        <v>45</v>
      </c>
      <c r="AG29" s="2" t="s">
        <v>45</v>
      </c>
      <c r="AH29" s="2" t="s">
        <v>45</v>
      </c>
      <c r="AI29" s="2" t="n">
        <f aca="false">COUNTIF('Needs review'!$A:$A,B29)</f>
        <v>0</v>
      </c>
    </row>
    <row r="30" customFormat="false" ht="15" hidden="false" customHeight="false" outlineLevel="0" collapsed="false">
      <c r="A30" s="2" t="s">
        <v>267</v>
      </c>
      <c r="B30" s="2" t="s">
        <v>268</v>
      </c>
      <c r="C30" s="2" t="s">
        <v>37</v>
      </c>
      <c r="D30" s="2" t="s">
        <v>38</v>
      </c>
      <c r="E30" s="2" t="s">
        <v>39</v>
      </c>
      <c r="F30" s="2" t="s">
        <v>40</v>
      </c>
      <c r="G30" s="2" t="s">
        <v>269</v>
      </c>
      <c r="H30" s="2"/>
      <c r="I30" s="3" t="n">
        <v>3</v>
      </c>
      <c r="J30" s="2" t="n">
        <v>2</v>
      </c>
      <c r="K30" s="4" t="n">
        <v>1512</v>
      </c>
      <c r="L30" s="5" t="n">
        <v>27</v>
      </c>
      <c r="M30" s="5" t="n">
        <v>56</v>
      </c>
      <c r="N30" s="2" t="s">
        <v>65</v>
      </c>
      <c r="O30" s="2" t="s">
        <v>198</v>
      </c>
      <c r="P30" s="6" t="s">
        <v>45</v>
      </c>
      <c r="Q30" s="2"/>
      <c r="R30" s="7"/>
      <c r="S30" s="2" t="str">
        <f aca="false">IF(COUNTA(U30:W30)&gt;0,"Yes","No")</f>
        <v>Yes</v>
      </c>
      <c r="T30" s="2" t="s">
        <v>270</v>
      </c>
      <c r="U30" s="2" t="s">
        <v>271</v>
      </c>
      <c r="V30" s="2"/>
      <c r="W30" s="2"/>
      <c r="X30" s="2" t="s">
        <v>272</v>
      </c>
      <c r="Y30" s="2" t="s">
        <v>273</v>
      </c>
      <c r="Z30" s="2" t="s">
        <v>274</v>
      </c>
      <c r="AA30" s="2" t="s">
        <v>51</v>
      </c>
      <c r="AB30" s="2" t="s">
        <v>52</v>
      </c>
      <c r="AC30" s="2" t="s">
        <v>53</v>
      </c>
      <c r="AD30" s="2" t="s">
        <v>54</v>
      </c>
      <c r="AE30" s="2" t="s">
        <v>55</v>
      </c>
      <c r="AF30" s="2" t="s">
        <v>45</v>
      </c>
      <c r="AG30" s="2" t="s">
        <v>45</v>
      </c>
      <c r="AH30" s="2" t="s">
        <v>45</v>
      </c>
      <c r="AI30" s="2" t="n">
        <f aca="false">COUNTIF('Needs review'!$A:$A,B30)</f>
        <v>0</v>
      </c>
    </row>
    <row r="31" customFormat="false" ht="15" hidden="false" customHeight="false" outlineLevel="0" collapsed="false">
      <c r="A31" s="2" t="s">
        <v>275</v>
      </c>
      <c r="B31" s="2" t="s">
        <v>276</v>
      </c>
      <c r="C31" s="2" t="s">
        <v>37</v>
      </c>
      <c r="D31" s="2" t="s">
        <v>38</v>
      </c>
      <c r="E31" s="2" t="s">
        <v>39</v>
      </c>
      <c r="F31" s="2" t="s">
        <v>40</v>
      </c>
      <c r="G31" s="2" t="s">
        <v>277</v>
      </c>
      <c r="H31" s="2"/>
      <c r="I31" s="3" t="n">
        <v>3</v>
      </c>
      <c r="J31" s="2" t="n">
        <v>2</v>
      </c>
      <c r="K31" s="4" t="n">
        <v>1512</v>
      </c>
      <c r="L31" s="5" t="n">
        <v>27</v>
      </c>
      <c r="M31" s="5" t="n">
        <v>56</v>
      </c>
      <c r="N31" s="2" t="s">
        <v>65</v>
      </c>
      <c r="O31" s="2" t="s">
        <v>198</v>
      </c>
      <c r="P31" s="6" t="s">
        <v>45</v>
      </c>
      <c r="Q31" s="2"/>
      <c r="R31" s="7"/>
      <c r="S31" s="2" t="str">
        <f aca="false">IF(COUNTA(U31:W31)&gt;0,"Yes","No")</f>
        <v>Yes</v>
      </c>
      <c r="T31" s="2" t="s">
        <v>278</v>
      </c>
      <c r="U31" s="2" t="s">
        <v>279</v>
      </c>
      <c r="V31" s="2"/>
      <c r="W31" s="2"/>
      <c r="X31" s="2" t="s">
        <v>280</v>
      </c>
      <c r="Y31" s="2" t="s">
        <v>281</v>
      </c>
      <c r="Z31" s="2" t="s">
        <v>282</v>
      </c>
      <c r="AA31" s="2" t="s">
        <v>51</v>
      </c>
      <c r="AB31" s="2" t="s">
        <v>52</v>
      </c>
      <c r="AC31" s="2" t="s">
        <v>53</v>
      </c>
      <c r="AD31" s="2" t="s">
        <v>54</v>
      </c>
      <c r="AE31" s="2" t="s">
        <v>55</v>
      </c>
      <c r="AF31" s="2" t="s">
        <v>45</v>
      </c>
      <c r="AG31" s="2" t="s">
        <v>45</v>
      </c>
      <c r="AH31" s="2" t="s">
        <v>45</v>
      </c>
      <c r="AI31" s="2" t="n">
        <f aca="false">COUNTIF('Needs review'!$A:$A,B31)</f>
        <v>0</v>
      </c>
    </row>
    <row r="32" customFormat="false" ht="15" hidden="false" customHeight="false" outlineLevel="0" collapsed="false">
      <c r="A32" s="2" t="s">
        <v>283</v>
      </c>
      <c r="B32" s="2" t="s">
        <v>284</v>
      </c>
      <c r="C32" s="2" t="s">
        <v>37</v>
      </c>
      <c r="D32" s="2" t="s">
        <v>38</v>
      </c>
      <c r="E32" s="2" t="s">
        <v>39</v>
      </c>
      <c r="F32" s="2" t="s">
        <v>40</v>
      </c>
      <c r="G32" s="2" t="s">
        <v>285</v>
      </c>
      <c r="H32" s="2"/>
      <c r="I32" s="3" t="n">
        <v>3</v>
      </c>
      <c r="J32" s="2" t="n">
        <v>2</v>
      </c>
      <c r="K32" s="4" t="n">
        <v>1512</v>
      </c>
      <c r="L32" s="5" t="n">
        <v>27</v>
      </c>
      <c r="M32" s="5" t="n">
        <v>56</v>
      </c>
      <c r="N32" s="2" t="s">
        <v>65</v>
      </c>
      <c r="O32" s="2" t="s">
        <v>198</v>
      </c>
      <c r="P32" s="6" t="s">
        <v>45</v>
      </c>
      <c r="Q32" s="2"/>
      <c r="R32" s="7"/>
      <c r="S32" s="2" t="str">
        <f aca="false">IF(COUNTA(U32:W32)&gt;0,"Yes","No")</f>
        <v>No</v>
      </c>
      <c r="T32" s="2" t="s">
        <v>286</v>
      </c>
      <c r="U32" s="2"/>
      <c r="V32" s="2"/>
      <c r="W32" s="2"/>
      <c r="X32" s="2" t="s">
        <v>287</v>
      </c>
      <c r="Y32" s="2" t="s">
        <v>288</v>
      </c>
      <c r="Z32" s="2" t="s">
        <v>289</v>
      </c>
      <c r="AA32" s="2" t="s">
        <v>51</v>
      </c>
      <c r="AB32" s="2" t="s">
        <v>52</v>
      </c>
      <c r="AC32" s="2" t="s">
        <v>53</v>
      </c>
      <c r="AD32" s="2" t="s">
        <v>54</v>
      </c>
      <c r="AE32" s="2" t="s">
        <v>55</v>
      </c>
      <c r="AF32" s="2" t="s">
        <v>45</v>
      </c>
      <c r="AG32" s="2" t="s">
        <v>45</v>
      </c>
      <c r="AH32" s="2" t="s">
        <v>45</v>
      </c>
      <c r="AI32" s="2" t="n">
        <f aca="false">COUNTIF('Needs review'!$A:$A,B32)</f>
        <v>0</v>
      </c>
    </row>
    <row r="33" customFormat="false" ht="15" hidden="false" customHeight="false" outlineLevel="0" collapsed="false">
      <c r="A33" s="2" t="s">
        <v>290</v>
      </c>
      <c r="B33" s="2" t="s">
        <v>291</v>
      </c>
      <c r="C33" s="2" t="s">
        <v>37</v>
      </c>
      <c r="D33" s="2" t="s">
        <v>38</v>
      </c>
      <c r="E33" s="2" t="s">
        <v>39</v>
      </c>
      <c r="F33" s="2" t="s">
        <v>40</v>
      </c>
      <c r="G33" s="2" t="s">
        <v>292</v>
      </c>
      <c r="H33" s="2"/>
      <c r="I33" s="3" t="n">
        <v>4</v>
      </c>
      <c r="J33" s="2" t="n">
        <v>2</v>
      </c>
      <c r="K33" s="4" t="n">
        <v>1620</v>
      </c>
      <c r="L33" s="5" t="n">
        <v>27</v>
      </c>
      <c r="M33" s="5" t="n">
        <v>60</v>
      </c>
      <c r="N33" s="2" t="s">
        <v>65</v>
      </c>
      <c r="O33" s="2" t="s">
        <v>198</v>
      </c>
      <c r="P33" s="6" t="s">
        <v>45</v>
      </c>
      <c r="Q33" s="2"/>
      <c r="R33" s="7"/>
      <c r="S33" s="2" t="str">
        <f aca="false">IF(COUNTA(U33:W33)&gt;0,"Yes","No")</f>
        <v>Yes</v>
      </c>
      <c r="T33" s="2" t="s">
        <v>293</v>
      </c>
      <c r="U33" s="2" t="s">
        <v>294</v>
      </c>
      <c r="V33" s="2"/>
      <c r="W33" s="2"/>
      <c r="X33" s="2" t="s">
        <v>295</v>
      </c>
      <c r="Y33" s="2" t="s">
        <v>296</v>
      </c>
      <c r="Z33" s="2" t="s">
        <v>297</v>
      </c>
      <c r="AA33" s="2" t="s">
        <v>51</v>
      </c>
      <c r="AB33" s="2" t="s">
        <v>52</v>
      </c>
      <c r="AC33" s="2" t="s">
        <v>53</v>
      </c>
      <c r="AD33" s="2" t="s">
        <v>54</v>
      </c>
      <c r="AE33" s="2" t="s">
        <v>55</v>
      </c>
      <c r="AF33" s="2" t="s">
        <v>45</v>
      </c>
      <c r="AG33" s="2" t="s">
        <v>45</v>
      </c>
      <c r="AH33" s="2" t="s">
        <v>45</v>
      </c>
      <c r="AI33" s="2" t="n">
        <f aca="false">COUNTIF('Needs review'!$A:$A,B33)</f>
        <v>0</v>
      </c>
    </row>
    <row r="34" customFormat="false" ht="15" hidden="false" customHeight="false" outlineLevel="0" collapsed="false">
      <c r="A34" s="2" t="s">
        <v>298</v>
      </c>
      <c r="B34" s="2" t="s">
        <v>299</v>
      </c>
      <c r="C34" s="2" t="s">
        <v>37</v>
      </c>
      <c r="D34" s="2" t="s">
        <v>38</v>
      </c>
      <c r="E34" s="2" t="s">
        <v>39</v>
      </c>
      <c r="F34" s="2" t="s">
        <v>40</v>
      </c>
      <c r="G34" s="2" t="s">
        <v>300</v>
      </c>
      <c r="H34" s="2"/>
      <c r="I34" s="3" t="n">
        <v>4</v>
      </c>
      <c r="J34" s="2" t="n">
        <v>2</v>
      </c>
      <c r="K34" s="4" t="n">
        <v>1836</v>
      </c>
      <c r="L34" s="5" t="n">
        <v>27</v>
      </c>
      <c r="M34" s="5" t="n">
        <v>68</v>
      </c>
      <c r="N34" s="2" t="s">
        <v>65</v>
      </c>
      <c r="O34" s="2" t="s">
        <v>198</v>
      </c>
      <c r="P34" s="6" t="s">
        <v>45</v>
      </c>
      <c r="Q34" s="2"/>
      <c r="R34" s="7"/>
      <c r="S34" s="2" t="str">
        <f aca="false">IF(COUNTA(U34:W34)&gt;0,"Yes","No")</f>
        <v>No</v>
      </c>
      <c r="T34" s="2" t="s">
        <v>301</v>
      </c>
      <c r="U34" s="2"/>
      <c r="V34" s="2"/>
      <c r="W34" s="2"/>
      <c r="X34" s="2" t="s">
        <v>302</v>
      </c>
      <c r="Y34" s="2" t="s">
        <v>303</v>
      </c>
      <c r="Z34" s="2" t="s">
        <v>304</v>
      </c>
      <c r="AA34" s="2" t="s">
        <v>51</v>
      </c>
      <c r="AB34" s="2" t="s">
        <v>52</v>
      </c>
      <c r="AC34" s="2" t="s">
        <v>53</v>
      </c>
      <c r="AD34" s="2" t="s">
        <v>54</v>
      </c>
      <c r="AE34" s="2" t="s">
        <v>55</v>
      </c>
      <c r="AF34" s="2" t="s">
        <v>45</v>
      </c>
      <c r="AG34" s="2" t="s">
        <v>45</v>
      </c>
      <c r="AH34" s="2" t="s">
        <v>45</v>
      </c>
      <c r="AI34" s="2" t="n">
        <f aca="false">COUNTIF('Needs review'!$A:$A,B34)</f>
        <v>0</v>
      </c>
    </row>
    <row r="35" customFormat="false" ht="15" hidden="false" customHeight="false" outlineLevel="0" collapsed="false">
      <c r="A35" s="2" t="s">
        <v>305</v>
      </c>
      <c r="B35" s="2" t="s">
        <v>306</v>
      </c>
      <c r="C35" s="2" t="s">
        <v>37</v>
      </c>
      <c r="D35" s="2" t="s">
        <v>38</v>
      </c>
      <c r="E35" s="2" t="s">
        <v>39</v>
      </c>
      <c r="F35" s="2" t="s">
        <v>40</v>
      </c>
      <c r="G35" s="2" t="s">
        <v>307</v>
      </c>
      <c r="H35" s="2"/>
      <c r="I35" s="3" t="n">
        <v>3</v>
      </c>
      <c r="J35" s="2" t="n">
        <v>2</v>
      </c>
      <c r="K35" s="4" t="n">
        <v>1836</v>
      </c>
      <c r="L35" s="5" t="n">
        <v>27</v>
      </c>
      <c r="M35" s="5" t="n">
        <v>68</v>
      </c>
      <c r="N35" s="2" t="s">
        <v>65</v>
      </c>
      <c r="O35" s="2" t="s">
        <v>198</v>
      </c>
      <c r="P35" s="6" t="s">
        <v>45</v>
      </c>
      <c r="Q35" s="2"/>
      <c r="R35" s="7"/>
      <c r="S35" s="2" t="str">
        <f aca="false">IF(COUNTA(U35:W35)&gt;0,"Yes","No")</f>
        <v>Yes</v>
      </c>
      <c r="T35" s="2" t="s">
        <v>308</v>
      </c>
      <c r="U35" s="2" t="s">
        <v>309</v>
      </c>
      <c r="V35" s="2" t="s">
        <v>310</v>
      </c>
      <c r="W35" s="2"/>
      <c r="X35" s="2" t="s">
        <v>311</v>
      </c>
      <c r="Y35" s="2" t="s">
        <v>312</v>
      </c>
      <c r="Z35" s="2" t="s">
        <v>127</v>
      </c>
      <c r="AA35" s="2" t="s">
        <v>51</v>
      </c>
      <c r="AB35" s="2" t="s">
        <v>52</v>
      </c>
      <c r="AC35" s="2" t="s">
        <v>53</v>
      </c>
      <c r="AD35" s="2" t="s">
        <v>54</v>
      </c>
      <c r="AE35" s="2" t="s">
        <v>55</v>
      </c>
      <c r="AF35" s="2" t="s">
        <v>45</v>
      </c>
      <c r="AG35" s="2" t="s">
        <v>45</v>
      </c>
      <c r="AH35" s="2" t="s">
        <v>45</v>
      </c>
      <c r="AI35" s="2" t="n">
        <f aca="false">COUNTIF('Needs review'!$A:$A,B35)</f>
        <v>0</v>
      </c>
    </row>
    <row r="36" customFormat="false" ht="15" hidden="false" customHeight="false" outlineLevel="0" collapsed="false">
      <c r="A36" s="2" t="s">
        <v>313</v>
      </c>
      <c r="B36" s="2" t="s">
        <v>314</v>
      </c>
      <c r="C36" s="2" t="s">
        <v>37</v>
      </c>
      <c r="D36" s="2" t="s">
        <v>38</v>
      </c>
      <c r="E36" s="2" t="s">
        <v>39</v>
      </c>
      <c r="F36" s="2" t="s">
        <v>40</v>
      </c>
      <c r="G36" s="2" t="s">
        <v>315</v>
      </c>
      <c r="H36" s="2"/>
      <c r="I36" s="3" t="n">
        <v>3</v>
      </c>
      <c r="J36" s="2" t="n">
        <v>2</v>
      </c>
      <c r="K36" s="4" t="n">
        <v>1917</v>
      </c>
      <c r="L36" s="5" t="n">
        <v>27</v>
      </c>
      <c r="M36" s="5" t="n">
        <v>71</v>
      </c>
      <c r="N36" s="2" t="s">
        <v>65</v>
      </c>
      <c r="O36" s="2" t="s">
        <v>198</v>
      </c>
      <c r="P36" s="6" t="s">
        <v>45</v>
      </c>
      <c r="Q36" s="2"/>
      <c r="R36" s="7"/>
      <c r="S36" s="2" t="str">
        <f aca="false">IF(COUNTA(U36:W36)&gt;0,"Yes","No")</f>
        <v>Yes</v>
      </c>
      <c r="T36" s="2" t="s">
        <v>316</v>
      </c>
      <c r="U36" s="2" t="s">
        <v>317</v>
      </c>
      <c r="V36" s="2"/>
      <c r="W36" s="2"/>
      <c r="X36" s="2" t="s">
        <v>318</v>
      </c>
      <c r="Y36" s="2" t="s">
        <v>319</v>
      </c>
      <c r="Z36" s="2" t="s">
        <v>320</v>
      </c>
      <c r="AA36" s="2" t="s">
        <v>51</v>
      </c>
      <c r="AB36" s="2" t="s">
        <v>52</v>
      </c>
      <c r="AC36" s="2" t="s">
        <v>53</v>
      </c>
      <c r="AD36" s="2" t="s">
        <v>54</v>
      </c>
      <c r="AE36" s="2" t="s">
        <v>55</v>
      </c>
      <c r="AF36" s="2" t="s">
        <v>45</v>
      </c>
      <c r="AG36" s="2" t="s">
        <v>45</v>
      </c>
      <c r="AH36" s="2" t="s">
        <v>45</v>
      </c>
      <c r="AI36" s="2" t="n">
        <f aca="false">COUNTIF('Needs review'!$A:$A,B36)</f>
        <v>0</v>
      </c>
    </row>
    <row r="37" customFormat="false" ht="15" hidden="false" customHeight="false" outlineLevel="0" collapsed="false">
      <c r="A37" s="2" t="s">
        <v>321</v>
      </c>
      <c r="B37" s="2" t="s">
        <v>322</v>
      </c>
      <c r="C37" s="2" t="s">
        <v>37</v>
      </c>
      <c r="D37" s="2" t="s">
        <v>323</v>
      </c>
      <c r="E37" s="2" t="s">
        <v>39</v>
      </c>
      <c r="F37" s="2" t="s">
        <v>40</v>
      </c>
      <c r="G37" s="2" t="s">
        <v>324</v>
      </c>
      <c r="H37" s="2" t="s">
        <v>325</v>
      </c>
      <c r="I37" s="3" t="n">
        <v>2</v>
      </c>
      <c r="J37" s="2" t="n">
        <v>1</v>
      </c>
      <c r="K37" s="4" t="n">
        <v>852</v>
      </c>
      <c r="L37" s="5" t="n">
        <v>24</v>
      </c>
      <c r="M37" s="5" t="n">
        <v>36</v>
      </c>
      <c r="N37" s="2" t="s">
        <v>65</v>
      </c>
      <c r="O37" s="2" t="s">
        <v>121</v>
      </c>
      <c r="P37" s="6" t="s">
        <v>45</v>
      </c>
      <c r="Q37" s="2"/>
      <c r="R37" s="7"/>
      <c r="S37" s="2" t="str">
        <f aca="false">IF(COUNTA(U37:W37)&gt;0,"Yes","No")</f>
        <v>Yes</v>
      </c>
      <c r="T37" s="2" t="s">
        <v>326</v>
      </c>
      <c r="U37" s="2"/>
      <c r="V37" s="2" t="s">
        <v>327</v>
      </c>
      <c r="W37" s="2"/>
      <c r="X37" s="2" t="s">
        <v>328</v>
      </c>
      <c r="Y37" s="2" t="s">
        <v>329</v>
      </c>
      <c r="Z37" s="2" t="s">
        <v>330</v>
      </c>
      <c r="AA37" s="2" t="s">
        <v>331</v>
      </c>
      <c r="AB37" s="2" t="s">
        <v>332</v>
      </c>
      <c r="AC37" s="2" t="s">
        <v>333</v>
      </c>
      <c r="AD37" s="2" t="s">
        <v>334</v>
      </c>
      <c r="AE37" s="2" t="s">
        <v>335</v>
      </c>
      <c r="AF37" s="2" t="s">
        <v>45</v>
      </c>
      <c r="AG37" s="2" t="s">
        <v>45</v>
      </c>
      <c r="AH37" s="2" t="s">
        <v>45</v>
      </c>
      <c r="AI37" s="2" t="n">
        <f aca="false">COUNTIF('Needs review'!$A:$A,B37)</f>
        <v>0</v>
      </c>
    </row>
    <row r="38" customFormat="false" ht="15" hidden="false" customHeight="false" outlineLevel="0" collapsed="false">
      <c r="A38" s="2" t="s">
        <v>336</v>
      </c>
      <c r="B38" s="2" t="s">
        <v>337</v>
      </c>
      <c r="C38" s="2" t="s">
        <v>37</v>
      </c>
      <c r="D38" s="2" t="s">
        <v>323</v>
      </c>
      <c r="E38" s="2" t="s">
        <v>39</v>
      </c>
      <c r="F38" s="2" t="s">
        <v>40</v>
      </c>
      <c r="G38" s="2" t="s">
        <v>338</v>
      </c>
      <c r="H38" s="2" t="s">
        <v>339</v>
      </c>
      <c r="I38" s="3" t="n">
        <v>2</v>
      </c>
      <c r="J38" s="2" t="n">
        <v>2</v>
      </c>
      <c r="K38" s="4" t="n">
        <v>958</v>
      </c>
      <c r="L38" s="5" t="n">
        <v>28</v>
      </c>
      <c r="M38" s="5" t="n">
        <v>36</v>
      </c>
      <c r="N38" s="2" t="s">
        <v>65</v>
      </c>
      <c r="O38" s="2" t="s">
        <v>198</v>
      </c>
      <c r="P38" s="6" t="s">
        <v>45</v>
      </c>
      <c r="Q38" s="2"/>
      <c r="R38" s="7"/>
      <c r="S38" s="2" t="str">
        <f aca="false">IF(COUNTA(U38:W38)&gt;0,"Yes","No")</f>
        <v>Yes</v>
      </c>
      <c r="T38" s="2" t="s">
        <v>340</v>
      </c>
      <c r="U38" s="2"/>
      <c r="V38" s="2" t="s">
        <v>341</v>
      </c>
      <c r="W38" s="2"/>
      <c r="X38" s="2" t="s">
        <v>342</v>
      </c>
      <c r="Y38" s="2" t="s">
        <v>343</v>
      </c>
      <c r="Z38" s="2" t="s">
        <v>344</v>
      </c>
      <c r="AA38" s="2" t="s">
        <v>331</v>
      </c>
      <c r="AB38" s="2" t="s">
        <v>332</v>
      </c>
      <c r="AC38" s="2" t="s">
        <v>333</v>
      </c>
      <c r="AD38" s="2" t="s">
        <v>334</v>
      </c>
      <c r="AE38" s="2" t="s">
        <v>335</v>
      </c>
      <c r="AF38" s="2" t="s">
        <v>45</v>
      </c>
      <c r="AG38" s="2" t="s">
        <v>45</v>
      </c>
      <c r="AH38" s="2" t="s">
        <v>45</v>
      </c>
      <c r="AI38" s="2" t="n">
        <f aca="false">COUNTIF('Needs review'!$A:$A,B38)</f>
        <v>0</v>
      </c>
    </row>
    <row r="39" customFormat="false" ht="15" hidden="false" customHeight="false" outlineLevel="0" collapsed="false">
      <c r="A39" s="2" t="s">
        <v>345</v>
      </c>
      <c r="B39" s="2" t="s">
        <v>346</v>
      </c>
      <c r="C39" s="2" t="s">
        <v>37</v>
      </c>
      <c r="D39" s="2" t="s">
        <v>323</v>
      </c>
      <c r="E39" s="2" t="s">
        <v>39</v>
      </c>
      <c r="F39" s="2" t="s">
        <v>40</v>
      </c>
      <c r="G39" s="2" t="s">
        <v>347</v>
      </c>
      <c r="H39" s="2" t="s">
        <v>348</v>
      </c>
      <c r="I39" s="3" t="n">
        <v>2</v>
      </c>
      <c r="J39" s="2" t="n">
        <v>2</v>
      </c>
      <c r="K39" s="4" t="n">
        <v>1026</v>
      </c>
      <c r="L39" s="5" t="n">
        <v>28</v>
      </c>
      <c r="M39" s="5"/>
      <c r="N39" s="2" t="s">
        <v>65</v>
      </c>
      <c r="O39" s="2" t="s">
        <v>198</v>
      </c>
      <c r="P39" s="6" t="s">
        <v>45</v>
      </c>
      <c r="Q39" s="2"/>
      <c r="R39" s="7"/>
      <c r="S39" s="2" t="str">
        <f aca="false">IF(COUNTA(U39:W39)&gt;0,"Yes","No")</f>
        <v>Yes</v>
      </c>
      <c r="T39" s="2" t="s">
        <v>349</v>
      </c>
      <c r="U39" s="2" t="s">
        <v>350</v>
      </c>
      <c r="V39" s="2" t="s">
        <v>351</v>
      </c>
      <c r="W39" s="2"/>
      <c r="X39" s="2" t="s">
        <v>352</v>
      </c>
      <c r="Y39" s="2" t="s">
        <v>353</v>
      </c>
      <c r="Z39" s="2" t="s">
        <v>354</v>
      </c>
      <c r="AA39" s="2" t="s">
        <v>331</v>
      </c>
      <c r="AB39" s="2" t="s">
        <v>332</v>
      </c>
      <c r="AC39" s="2" t="s">
        <v>333</v>
      </c>
      <c r="AD39" s="2" t="s">
        <v>334</v>
      </c>
      <c r="AE39" s="2" t="s">
        <v>335</v>
      </c>
      <c r="AF39" s="2" t="s">
        <v>45</v>
      </c>
      <c r="AG39" s="2" t="s">
        <v>45</v>
      </c>
      <c r="AH39" s="2" t="s">
        <v>45</v>
      </c>
      <c r="AI39" s="2" t="n">
        <f aca="false">COUNTIF('Needs review'!$A:$A,B39)</f>
        <v>0</v>
      </c>
    </row>
    <row r="40" customFormat="false" ht="15" hidden="false" customHeight="false" outlineLevel="0" collapsed="false">
      <c r="A40" s="2" t="s">
        <v>355</v>
      </c>
      <c r="B40" s="2" t="s">
        <v>356</v>
      </c>
      <c r="C40" s="2" t="s">
        <v>37</v>
      </c>
      <c r="D40" s="2" t="s">
        <v>323</v>
      </c>
      <c r="E40" s="2" t="s">
        <v>39</v>
      </c>
      <c r="F40" s="2" t="s">
        <v>40</v>
      </c>
      <c r="G40" s="2" t="s">
        <v>357</v>
      </c>
      <c r="H40" s="2" t="s">
        <v>358</v>
      </c>
      <c r="I40" s="3" t="n">
        <v>2</v>
      </c>
      <c r="J40" s="2" t="n">
        <v>2</v>
      </c>
      <c r="K40" s="4" t="n">
        <v>1296</v>
      </c>
      <c r="L40" s="5" t="n">
        <v>27</v>
      </c>
      <c r="M40" s="5" t="n">
        <v>48</v>
      </c>
      <c r="N40" s="2" t="s">
        <v>65</v>
      </c>
      <c r="O40" s="2" t="s">
        <v>198</v>
      </c>
      <c r="P40" s="6" t="s">
        <v>45</v>
      </c>
      <c r="Q40" s="2"/>
      <c r="R40" s="7"/>
      <c r="S40" s="2" t="str">
        <f aca="false">IF(COUNTA(U40:W40)&gt;0,"Yes","No")</f>
        <v>No</v>
      </c>
      <c r="T40" s="2" t="s">
        <v>359</v>
      </c>
      <c r="U40" s="2"/>
      <c r="V40" s="2"/>
      <c r="W40" s="2"/>
      <c r="X40" s="2" t="s">
        <v>360</v>
      </c>
      <c r="Y40" s="2" t="s">
        <v>361</v>
      </c>
      <c r="Z40" s="2" t="s">
        <v>362</v>
      </c>
      <c r="AA40" s="2" t="s">
        <v>331</v>
      </c>
      <c r="AB40" s="2" t="s">
        <v>332</v>
      </c>
      <c r="AC40" s="2" t="s">
        <v>333</v>
      </c>
      <c r="AD40" s="2" t="s">
        <v>334</v>
      </c>
      <c r="AE40" s="2" t="s">
        <v>335</v>
      </c>
      <c r="AF40" s="2" t="s">
        <v>45</v>
      </c>
      <c r="AG40" s="2" t="s">
        <v>45</v>
      </c>
      <c r="AH40" s="2" t="s">
        <v>45</v>
      </c>
      <c r="AI40" s="2" t="n">
        <f aca="false">COUNTIF('Needs review'!$A:$A,B40)</f>
        <v>1</v>
      </c>
    </row>
    <row r="41" customFormat="false" ht="15" hidden="false" customHeight="false" outlineLevel="0" collapsed="false">
      <c r="A41" s="2" t="s">
        <v>363</v>
      </c>
      <c r="B41" s="2" t="s">
        <v>364</v>
      </c>
      <c r="C41" s="2" t="s">
        <v>37</v>
      </c>
      <c r="D41" s="2" t="s">
        <v>323</v>
      </c>
      <c r="E41" s="2" t="s">
        <v>39</v>
      </c>
      <c r="F41" s="2" t="s">
        <v>40</v>
      </c>
      <c r="G41" s="2" t="s">
        <v>365</v>
      </c>
      <c r="H41" s="2" t="s">
        <v>366</v>
      </c>
      <c r="I41" s="3" t="n">
        <v>2</v>
      </c>
      <c r="J41" s="2" t="n">
        <v>2</v>
      </c>
      <c r="K41" s="4" t="n">
        <v>1296</v>
      </c>
      <c r="L41" s="5" t="n">
        <v>27</v>
      </c>
      <c r="M41" s="5" t="n">
        <v>48</v>
      </c>
      <c r="N41" s="2" t="s">
        <v>65</v>
      </c>
      <c r="O41" s="2" t="s">
        <v>198</v>
      </c>
      <c r="P41" s="6" t="s">
        <v>45</v>
      </c>
      <c r="Q41" s="2"/>
      <c r="R41" s="7"/>
      <c r="S41" s="2" t="str">
        <f aca="false">IF(COUNTA(U41:W41)&gt;0,"Yes","No")</f>
        <v>Yes</v>
      </c>
      <c r="T41" s="2" t="s">
        <v>367</v>
      </c>
      <c r="U41" s="2"/>
      <c r="V41" s="2" t="s">
        <v>368</v>
      </c>
      <c r="W41" s="2"/>
      <c r="X41" s="2" t="s">
        <v>369</v>
      </c>
      <c r="Y41" s="2" t="s">
        <v>370</v>
      </c>
      <c r="Z41" s="2" t="s">
        <v>371</v>
      </c>
      <c r="AA41" s="2" t="s">
        <v>331</v>
      </c>
      <c r="AB41" s="2" t="s">
        <v>332</v>
      </c>
      <c r="AC41" s="2" t="s">
        <v>333</v>
      </c>
      <c r="AD41" s="2" t="s">
        <v>334</v>
      </c>
      <c r="AE41" s="2" t="s">
        <v>335</v>
      </c>
      <c r="AF41" s="2" t="s">
        <v>45</v>
      </c>
      <c r="AG41" s="2" t="s">
        <v>45</v>
      </c>
      <c r="AH41" s="2" t="s">
        <v>45</v>
      </c>
      <c r="AI41" s="2" t="n">
        <f aca="false">COUNTIF('Needs review'!$A:$A,B41)</f>
        <v>0</v>
      </c>
    </row>
    <row r="42" customFormat="false" ht="15" hidden="false" customHeight="false" outlineLevel="0" collapsed="false">
      <c r="A42" s="2" t="s">
        <v>372</v>
      </c>
      <c r="B42" s="2" t="s">
        <v>373</v>
      </c>
      <c r="C42" s="2" t="s">
        <v>37</v>
      </c>
      <c r="D42" s="2" t="s">
        <v>323</v>
      </c>
      <c r="E42" s="2" t="s">
        <v>39</v>
      </c>
      <c r="F42" s="2" t="s">
        <v>40</v>
      </c>
      <c r="G42" s="2" t="s">
        <v>374</v>
      </c>
      <c r="H42" s="2" t="s">
        <v>375</v>
      </c>
      <c r="I42" s="3" t="n">
        <v>2</v>
      </c>
      <c r="J42" s="2" t="n">
        <v>2</v>
      </c>
      <c r="K42" s="4" t="n">
        <v>1404</v>
      </c>
      <c r="L42" s="5" t="n">
        <v>27</v>
      </c>
      <c r="M42" s="5" t="n">
        <v>52</v>
      </c>
      <c r="N42" s="2" t="s">
        <v>65</v>
      </c>
      <c r="O42" s="2" t="s">
        <v>198</v>
      </c>
      <c r="P42" s="6" t="s">
        <v>45</v>
      </c>
      <c r="Q42" s="2"/>
      <c r="R42" s="7"/>
      <c r="S42" s="2" t="str">
        <f aca="false">IF(COUNTA(U42:W42)&gt;0,"Yes","No")</f>
        <v>No</v>
      </c>
      <c r="T42" s="2" t="s">
        <v>376</v>
      </c>
      <c r="U42" s="2"/>
      <c r="V42" s="2"/>
      <c r="W42" s="2"/>
      <c r="X42" s="2" t="s">
        <v>377</v>
      </c>
      <c r="Y42" s="2" t="s">
        <v>377</v>
      </c>
      <c r="Z42" s="2" t="s">
        <v>378</v>
      </c>
      <c r="AA42" s="2" t="s">
        <v>331</v>
      </c>
      <c r="AB42" s="2" t="s">
        <v>332</v>
      </c>
      <c r="AC42" s="2" t="s">
        <v>333</v>
      </c>
      <c r="AD42" s="2" t="s">
        <v>334</v>
      </c>
      <c r="AE42" s="2" t="s">
        <v>335</v>
      </c>
      <c r="AF42" s="2" t="s">
        <v>45</v>
      </c>
      <c r="AG42" s="2" t="s">
        <v>45</v>
      </c>
      <c r="AH42" s="2" t="s">
        <v>45</v>
      </c>
      <c r="AI42" s="2" t="n">
        <f aca="false">COUNTIF('Needs review'!$A:$A,B42)</f>
        <v>1</v>
      </c>
    </row>
    <row r="43" customFormat="false" ht="15" hidden="false" customHeight="false" outlineLevel="0" collapsed="false">
      <c r="A43" s="2" t="s">
        <v>379</v>
      </c>
      <c r="B43" s="2" t="s">
        <v>380</v>
      </c>
      <c r="C43" s="2" t="s">
        <v>37</v>
      </c>
      <c r="D43" s="2" t="s">
        <v>323</v>
      </c>
      <c r="E43" s="2" t="s">
        <v>39</v>
      </c>
      <c r="F43" s="2" t="s">
        <v>40</v>
      </c>
      <c r="G43" s="2" t="s">
        <v>381</v>
      </c>
      <c r="H43" s="2" t="s">
        <v>382</v>
      </c>
      <c r="I43" s="3" t="n">
        <v>3</v>
      </c>
      <c r="J43" s="2" t="n">
        <v>2</v>
      </c>
      <c r="K43" s="4" t="n">
        <v>1404</v>
      </c>
      <c r="L43" s="5" t="n">
        <v>27</v>
      </c>
      <c r="M43" s="5" t="n">
        <v>52</v>
      </c>
      <c r="N43" s="2" t="s">
        <v>65</v>
      </c>
      <c r="O43" s="2" t="s">
        <v>198</v>
      </c>
      <c r="P43" s="6" t="s">
        <v>45</v>
      </c>
      <c r="Q43" s="2"/>
      <c r="R43" s="7"/>
      <c r="S43" s="2" t="str">
        <f aca="false">IF(COUNTA(U43:W43)&gt;0,"Yes","No")</f>
        <v>Yes</v>
      </c>
      <c r="T43" s="2" t="s">
        <v>383</v>
      </c>
      <c r="U43" s="2" t="s">
        <v>384</v>
      </c>
      <c r="V43" s="2"/>
      <c r="W43" s="2"/>
      <c r="X43" s="2" t="s">
        <v>385</v>
      </c>
      <c r="Y43" s="2" t="s">
        <v>386</v>
      </c>
      <c r="Z43" s="2" t="s">
        <v>387</v>
      </c>
      <c r="AA43" s="2" t="s">
        <v>331</v>
      </c>
      <c r="AB43" s="2" t="s">
        <v>332</v>
      </c>
      <c r="AC43" s="2" t="s">
        <v>333</v>
      </c>
      <c r="AD43" s="2" t="s">
        <v>334</v>
      </c>
      <c r="AE43" s="2" t="s">
        <v>335</v>
      </c>
      <c r="AF43" s="2" t="s">
        <v>45</v>
      </c>
      <c r="AG43" s="2" t="s">
        <v>45</v>
      </c>
      <c r="AH43" s="2" t="s">
        <v>45</v>
      </c>
      <c r="AI43" s="2" t="n">
        <f aca="false">COUNTIF('Needs review'!$A:$A,B43)</f>
        <v>0</v>
      </c>
    </row>
    <row r="44" customFormat="false" ht="15" hidden="false" customHeight="false" outlineLevel="0" collapsed="false">
      <c r="A44" s="2" t="s">
        <v>388</v>
      </c>
      <c r="B44" s="2" t="s">
        <v>389</v>
      </c>
      <c r="C44" s="2" t="s">
        <v>37</v>
      </c>
      <c r="D44" s="2" t="s">
        <v>323</v>
      </c>
      <c r="E44" s="2" t="s">
        <v>39</v>
      </c>
      <c r="F44" s="2" t="s">
        <v>40</v>
      </c>
      <c r="G44" s="2" t="s">
        <v>390</v>
      </c>
      <c r="H44" s="2" t="s">
        <v>391</v>
      </c>
      <c r="I44" s="3" t="n">
        <v>3</v>
      </c>
      <c r="J44" s="2" t="n">
        <v>2</v>
      </c>
      <c r="K44" s="4" t="n">
        <v>1512</v>
      </c>
      <c r="L44" s="5" t="n">
        <v>27</v>
      </c>
      <c r="M44" s="5" t="n">
        <v>56</v>
      </c>
      <c r="N44" s="2" t="s">
        <v>65</v>
      </c>
      <c r="O44" s="2" t="s">
        <v>198</v>
      </c>
      <c r="P44" s="6" t="s">
        <v>45</v>
      </c>
      <c r="Q44" s="2"/>
      <c r="R44" s="7"/>
      <c r="S44" s="2" t="str">
        <f aca="false">IF(COUNTA(U44:W44)&gt;0,"Yes","No")</f>
        <v>No</v>
      </c>
      <c r="T44" s="2" t="s">
        <v>392</v>
      </c>
      <c r="U44" s="2"/>
      <c r="V44" s="2"/>
      <c r="W44" s="2"/>
      <c r="X44" s="2" t="s">
        <v>393</v>
      </c>
      <c r="Y44" s="2" t="s">
        <v>394</v>
      </c>
      <c r="Z44" s="2" t="s">
        <v>395</v>
      </c>
      <c r="AA44" s="2" t="s">
        <v>331</v>
      </c>
      <c r="AB44" s="2" t="s">
        <v>332</v>
      </c>
      <c r="AC44" s="2" t="s">
        <v>333</v>
      </c>
      <c r="AD44" s="2" t="s">
        <v>334</v>
      </c>
      <c r="AE44" s="2" t="s">
        <v>335</v>
      </c>
      <c r="AF44" s="2" t="s">
        <v>45</v>
      </c>
      <c r="AG44" s="2" t="s">
        <v>45</v>
      </c>
      <c r="AH44" s="2" t="s">
        <v>45</v>
      </c>
      <c r="AI44" s="2" t="n">
        <f aca="false">COUNTIF('Needs review'!$A:$A,B44)</f>
        <v>0</v>
      </c>
    </row>
    <row r="45" customFormat="false" ht="15" hidden="false" customHeight="false" outlineLevel="0" collapsed="false">
      <c r="A45" s="2" t="s">
        <v>396</v>
      </c>
      <c r="B45" s="2" t="s">
        <v>397</v>
      </c>
      <c r="C45" s="2" t="s">
        <v>37</v>
      </c>
      <c r="D45" s="2" t="s">
        <v>323</v>
      </c>
      <c r="E45" s="2" t="s">
        <v>39</v>
      </c>
      <c r="F45" s="2" t="s">
        <v>40</v>
      </c>
      <c r="G45" s="2" t="s">
        <v>398</v>
      </c>
      <c r="H45" s="2" t="s">
        <v>399</v>
      </c>
      <c r="I45" s="3" t="n">
        <v>3</v>
      </c>
      <c r="J45" s="2" t="n">
        <v>2</v>
      </c>
      <c r="K45" s="4" t="n">
        <v>1512</v>
      </c>
      <c r="L45" s="5" t="n">
        <v>27</v>
      </c>
      <c r="M45" s="5" t="n">
        <v>56</v>
      </c>
      <c r="N45" s="2" t="s">
        <v>65</v>
      </c>
      <c r="O45" s="2" t="s">
        <v>198</v>
      </c>
      <c r="P45" s="6" t="s">
        <v>45</v>
      </c>
      <c r="Q45" s="2"/>
      <c r="R45" s="7"/>
      <c r="S45" s="2" t="str">
        <f aca="false">IF(COUNTA(U45:W45)&gt;0,"Yes","No")</f>
        <v>No</v>
      </c>
      <c r="T45" s="2" t="s">
        <v>400</v>
      </c>
      <c r="U45" s="2"/>
      <c r="V45" s="2"/>
      <c r="W45" s="2"/>
      <c r="X45" s="2" t="s">
        <v>401</v>
      </c>
      <c r="Y45" s="2" t="s">
        <v>401</v>
      </c>
      <c r="Z45" s="2" t="s">
        <v>402</v>
      </c>
      <c r="AA45" s="2" t="s">
        <v>331</v>
      </c>
      <c r="AB45" s="2" t="s">
        <v>332</v>
      </c>
      <c r="AC45" s="2" t="s">
        <v>333</v>
      </c>
      <c r="AD45" s="2" t="s">
        <v>334</v>
      </c>
      <c r="AE45" s="2" t="s">
        <v>335</v>
      </c>
      <c r="AF45" s="2" t="s">
        <v>45</v>
      </c>
      <c r="AG45" s="2" t="s">
        <v>45</v>
      </c>
      <c r="AH45" s="2" t="s">
        <v>45</v>
      </c>
      <c r="AI45" s="2" t="n">
        <f aca="false">COUNTIF('Needs review'!$A:$A,B45)</f>
        <v>0</v>
      </c>
    </row>
    <row r="46" customFormat="false" ht="15" hidden="false" customHeight="false" outlineLevel="0" collapsed="false">
      <c r="A46" s="2" t="s">
        <v>403</v>
      </c>
      <c r="B46" s="2" t="s">
        <v>404</v>
      </c>
      <c r="C46" s="2" t="s">
        <v>37</v>
      </c>
      <c r="D46" s="2" t="s">
        <v>323</v>
      </c>
      <c r="E46" s="2" t="s">
        <v>39</v>
      </c>
      <c r="F46" s="2" t="s">
        <v>40</v>
      </c>
      <c r="G46" s="2" t="s">
        <v>405</v>
      </c>
      <c r="H46" s="2" t="s">
        <v>406</v>
      </c>
      <c r="I46" s="3" t="n">
        <v>3</v>
      </c>
      <c r="J46" s="2" t="n">
        <v>2</v>
      </c>
      <c r="K46" s="4" t="n">
        <v>1512</v>
      </c>
      <c r="L46" s="5" t="n">
        <v>28</v>
      </c>
      <c r="M46" s="5" t="n">
        <v>56</v>
      </c>
      <c r="N46" s="2" t="s">
        <v>65</v>
      </c>
      <c r="O46" s="2" t="s">
        <v>198</v>
      </c>
      <c r="P46" s="6" t="s">
        <v>45</v>
      </c>
      <c r="Q46" s="2"/>
      <c r="R46" s="7"/>
      <c r="S46" s="2" t="str">
        <f aca="false">IF(COUNTA(U46:W46)&gt;0,"Yes","No")</f>
        <v>Yes</v>
      </c>
      <c r="T46" s="2" t="s">
        <v>407</v>
      </c>
      <c r="U46" s="2" t="s">
        <v>408</v>
      </c>
      <c r="V46" s="2"/>
      <c r="W46" s="2"/>
      <c r="X46" s="2" t="s">
        <v>409</v>
      </c>
      <c r="Y46" s="2" t="s">
        <v>410</v>
      </c>
      <c r="Z46" s="2" t="s">
        <v>411</v>
      </c>
      <c r="AA46" s="2" t="s">
        <v>331</v>
      </c>
      <c r="AB46" s="2" t="s">
        <v>332</v>
      </c>
      <c r="AC46" s="2" t="s">
        <v>333</v>
      </c>
      <c r="AD46" s="2" t="s">
        <v>334</v>
      </c>
      <c r="AE46" s="2" t="s">
        <v>335</v>
      </c>
      <c r="AF46" s="2" t="s">
        <v>45</v>
      </c>
      <c r="AG46" s="2" t="s">
        <v>45</v>
      </c>
      <c r="AH46" s="2" t="s">
        <v>45</v>
      </c>
      <c r="AI46" s="2" t="n">
        <f aca="false">COUNTIF('Needs review'!$A:$A,B46)</f>
        <v>0</v>
      </c>
    </row>
    <row r="47" customFormat="false" ht="15" hidden="false" customHeight="false" outlineLevel="0" collapsed="false">
      <c r="A47" s="2" t="s">
        <v>412</v>
      </c>
      <c r="B47" s="2" t="s">
        <v>413</v>
      </c>
      <c r="C47" s="2" t="s">
        <v>37</v>
      </c>
      <c r="D47" s="2" t="s">
        <v>323</v>
      </c>
      <c r="E47" s="2" t="s">
        <v>39</v>
      </c>
      <c r="F47" s="2" t="s">
        <v>40</v>
      </c>
      <c r="G47" s="2" t="s">
        <v>414</v>
      </c>
      <c r="H47" s="2" t="s">
        <v>415</v>
      </c>
      <c r="I47" s="3" t="n">
        <v>3</v>
      </c>
      <c r="J47" s="2" t="n">
        <v>2</v>
      </c>
      <c r="K47" s="4" t="n">
        <v>1512</v>
      </c>
      <c r="L47" s="5" t="n">
        <v>28</v>
      </c>
      <c r="M47" s="5" t="n">
        <v>56</v>
      </c>
      <c r="N47" s="2" t="s">
        <v>65</v>
      </c>
      <c r="O47" s="2" t="s">
        <v>198</v>
      </c>
      <c r="P47" s="6" t="s">
        <v>45</v>
      </c>
      <c r="Q47" s="2"/>
      <c r="R47" s="7"/>
      <c r="S47" s="2" t="str">
        <f aca="false">IF(COUNTA(U47:W47)&gt;0,"Yes","No")</f>
        <v>Yes</v>
      </c>
      <c r="T47" s="2" t="s">
        <v>416</v>
      </c>
      <c r="U47" s="2" t="s">
        <v>417</v>
      </c>
      <c r="V47" s="2" t="s">
        <v>418</v>
      </c>
      <c r="W47" s="2"/>
      <c r="X47" s="2" t="s">
        <v>419</v>
      </c>
      <c r="Y47" s="2" t="s">
        <v>420</v>
      </c>
      <c r="Z47" s="2" t="s">
        <v>421</v>
      </c>
      <c r="AA47" s="2" t="s">
        <v>331</v>
      </c>
      <c r="AB47" s="2" t="s">
        <v>332</v>
      </c>
      <c r="AC47" s="2" t="s">
        <v>333</v>
      </c>
      <c r="AD47" s="2" t="s">
        <v>334</v>
      </c>
      <c r="AE47" s="2" t="s">
        <v>335</v>
      </c>
      <c r="AF47" s="2" t="s">
        <v>45</v>
      </c>
      <c r="AG47" s="2" t="s">
        <v>45</v>
      </c>
      <c r="AH47" s="2" t="s">
        <v>45</v>
      </c>
      <c r="AI47" s="2" t="n">
        <f aca="false">COUNTIF('Needs review'!$A:$A,B47)</f>
        <v>1</v>
      </c>
    </row>
    <row r="48" customFormat="false" ht="15" hidden="false" customHeight="false" outlineLevel="0" collapsed="false">
      <c r="A48" s="2" t="s">
        <v>422</v>
      </c>
      <c r="B48" s="2" t="s">
        <v>423</v>
      </c>
      <c r="C48" s="2" t="s">
        <v>37</v>
      </c>
      <c r="D48" s="2" t="s">
        <v>323</v>
      </c>
      <c r="E48" s="2" t="s">
        <v>39</v>
      </c>
      <c r="F48" s="2" t="s">
        <v>40</v>
      </c>
      <c r="G48" s="2" t="s">
        <v>424</v>
      </c>
      <c r="H48" s="2" t="s">
        <v>425</v>
      </c>
      <c r="I48" s="3" t="n">
        <v>3</v>
      </c>
      <c r="J48" s="2" t="n">
        <v>2</v>
      </c>
      <c r="K48" s="4" t="n">
        <v>1620</v>
      </c>
      <c r="L48" s="5" t="n">
        <v>27</v>
      </c>
      <c r="M48" s="5" t="n">
        <v>60</v>
      </c>
      <c r="N48" s="2" t="s">
        <v>65</v>
      </c>
      <c r="O48" s="2" t="s">
        <v>198</v>
      </c>
      <c r="P48" s="6" t="s">
        <v>45</v>
      </c>
      <c r="Q48" s="2"/>
      <c r="R48" s="7"/>
      <c r="S48" s="2" t="str">
        <f aca="false">IF(COUNTA(U48:W48)&gt;0,"Yes","No")</f>
        <v>Yes</v>
      </c>
      <c r="T48" s="2" t="s">
        <v>426</v>
      </c>
      <c r="U48" s="2"/>
      <c r="V48" s="2" t="s">
        <v>427</v>
      </c>
      <c r="W48" s="2"/>
      <c r="X48" s="2" t="s">
        <v>428</v>
      </c>
      <c r="Y48" s="2" t="s">
        <v>429</v>
      </c>
      <c r="Z48" s="2" t="s">
        <v>430</v>
      </c>
      <c r="AA48" s="2" t="s">
        <v>331</v>
      </c>
      <c r="AB48" s="2" t="s">
        <v>332</v>
      </c>
      <c r="AC48" s="2" t="s">
        <v>333</v>
      </c>
      <c r="AD48" s="2" t="s">
        <v>334</v>
      </c>
      <c r="AE48" s="2" t="s">
        <v>335</v>
      </c>
      <c r="AF48" s="2" t="s">
        <v>45</v>
      </c>
      <c r="AG48" s="2" t="s">
        <v>45</v>
      </c>
      <c r="AH48" s="2" t="s">
        <v>45</v>
      </c>
      <c r="AI48" s="2" t="n">
        <f aca="false">COUNTIF('Needs review'!$A:$A,B48)</f>
        <v>0</v>
      </c>
    </row>
    <row r="49" customFormat="false" ht="15" hidden="false" customHeight="false" outlineLevel="0" collapsed="false">
      <c r="A49" s="2" t="s">
        <v>431</v>
      </c>
      <c r="B49" s="2" t="s">
        <v>432</v>
      </c>
      <c r="C49" s="2" t="s">
        <v>37</v>
      </c>
      <c r="D49" s="2" t="s">
        <v>323</v>
      </c>
      <c r="E49" s="2" t="s">
        <v>39</v>
      </c>
      <c r="F49" s="2" t="s">
        <v>40</v>
      </c>
      <c r="G49" s="2" t="s">
        <v>433</v>
      </c>
      <c r="H49" s="2" t="s">
        <v>434</v>
      </c>
      <c r="I49" s="3" t="n">
        <v>4</v>
      </c>
      <c r="J49" s="2" t="n">
        <v>2</v>
      </c>
      <c r="K49" s="4" t="n">
        <v>1782</v>
      </c>
      <c r="L49" s="5" t="n">
        <v>27</v>
      </c>
      <c r="M49" s="5" t="n">
        <v>66</v>
      </c>
      <c r="N49" s="2" t="s">
        <v>65</v>
      </c>
      <c r="O49" s="2" t="s">
        <v>198</v>
      </c>
      <c r="P49" s="6" t="s">
        <v>45</v>
      </c>
      <c r="Q49" s="2"/>
      <c r="R49" s="7"/>
      <c r="S49" s="2" t="str">
        <f aca="false">IF(COUNTA(U49:W49)&gt;0,"Yes","No")</f>
        <v>No</v>
      </c>
      <c r="T49" s="2" t="s">
        <v>435</v>
      </c>
      <c r="U49" s="2"/>
      <c r="V49" s="2"/>
      <c r="W49" s="2"/>
      <c r="X49" s="2" t="s">
        <v>436</v>
      </c>
      <c r="Y49" s="2" t="s">
        <v>437</v>
      </c>
      <c r="Z49" s="2" t="s">
        <v>438</v>
      </c>
      <c r="AA49" s="2" t="s">
        <v>331</v>
      </c>
      <c r="AB49" s="2" t="s">
        <v>332</v>
      </c>
      <c r="AC49" s="2" t="s">
        <v>333</v>
      </c>
      <c r="AD49" s="2" t="s">
        <v>334</v>
      </c>
      <c r="AE49" s="2" t="s">
        <v>335</v>
      </c>
      <c r="AF49" s="2" t="s">
        <v>45</v>
      </c>
      <c r="AG49" s="2" t="s">
        <v>45</v>
      </c>
      <c r="AH49" s="2" t="s">
        <v>45</v>
      </c>
      <c r="AI49" s="2" t="n">
        <f aca="false">COUNTIF('Needs review'!$A:$A,B49)</f>
        <v>0</v>
      </c>
    </row>
    <row r="50" customFormat="false" ht="15" hidden="false" customHeight="false" outlineLevel="0" collapsed="false">
      <c r="A50" s="2" t="s">
        <v>439</v>
      </c>
      <c r="B50" s="2" t="s">
        <v>440</v>
      </c>
      <c r="C50" s="2" t="s">
        <v>37</v>
      </c>
      <c r="D50" s="2" t="s">
        <v>323</v>
      </c>
      <c r="E50" s="2" t="s">
        <v>39</v>
      </c>
      <c r="F50" s="2" t="s">
        <v>40</v>
      </c>
      <c r="G50" s="2" t="s">
        <v>441</v>
      </c>
      <c r="H50" s="2" t="s">
        <v>442</v>
      </c>
      <c r="I50" s="3" t="n">
        <v>3</v>
      </c>
      <c r="J50" s="2" t="n">
        <v>2</v>
      </c>
      <c r="K50" s="4" t="n">
        <v>1836</v>
      </c>
      <c r="L50" s="5" t="n">
        <v>28</v>
      </c>
      <c r="M50" s="5" t="n">
        <v>68</v>
      </c>
      <c r="N50" s="2" t="s">
        <v>65</v>
      </c>
      <c r="O50" s="2" t="s">
        <v>198</v>
      </c>
      <c r="P50" s="6" t="s">
        <v>45</v>
      </c>
      <c r="Q50" s="2"/>
      <c r="R50" s="7"/>
      <c r="S50" s="2" t="str">
        <f aca="false">IF(COUNTA(U50:W50)&gt;0,"Yes","No")</f>
        <v>Yes</v>
      </c>
      <c r="T50" s="2" t="s">
        <v>443</v>
      </c>
      <c r="U50" s="2" t="s">
        <v>444</v>
      </c>
      <c r="V50" s="2"/>
      <c r="W50" s="2"/>
      <c r="X50" s="2" t="s">
        <v>445</v>
      </c>
      <c r="Y50" s="2" t="s">
        <v>446</v>
      </c>
      <c r="Z50" s="2" t="s">
        <v>447</v>
      </c>
      <c r="AA50" s="2" t="s">
        <v>331</v>
      </c>
      <c r="AB50" s="2" t="s">
        <v>332</v>
      </c>
      <c r="AC50" s="2" t="s">
        <v>333</v>
      </c>
      <c r="AD50" s="2" t="s">
        <v>334</v>
      </c>
      <c r="AE50" s="2" t="s">
        <v>335</v>
      </c>
      <c r="AF50" s="2" t="s">
        <v>45</v>
      </c>
      <c r="AG50" s="2" t="s">
        <v>45</v>
      </c>
      <c r="AH50" s="2" t="s">
        <v>45</v>
      </c>
      <c r="AI50" s="2" t="n">
        <f aca="false">COUNTIF('Needs review'!$A:$A,B50)</f>
        <v>0</v>
      </c>
    </row>
    <row r="51" customFormat="false" ht="15" hidden="false" customHeight="false" outlineLevel="0" collapsed="false">
      <c r="A51" s="2" t="s">
        <v>448</v>
      </c>
      <c r="B51" s="2" t="s">
        <v>449</v>
      </c>
      <c r="C51" s="2" t="s">
        <v>37</v>
      </c>
      <c r="D51" s="2" t="s">
        <v>323</v>
      </c>
      <c r="E51" s="2" t="s">
        <v>39</v>
      </c>
      <c r="F51" s="2" t="s">
        <v>40</v>
      </c>
      <c r="G51" s="2" t="s">
        <v>450</v>
      </c>
      <c r="H51" s="2" t="s">
        <v>451</v>
      </c>
      <c r="I51" s="3" t="n">
        <v>3</v>
      </c>
      <c r="J51" s="2" t="n">
        <v>2</v>
      </c>
      <c r="K51" s="4" t="n">
        <v>1836</v>
      </c>
      <c r="L51" s="5" t="n">
        <v>27</v>
      </c>
      <c r="M51" s="5" t="n">
        <v>68</v>
      </c>
      <c r="N51" s="2" t="s">
        <v>65</v>
      </c>
      <c r="O51" s="2" t="s">
        <v>198</v>
      </c>
      <c r="P51" s="6" t="s">
        <v>45</v>
      </c>
      <c r="Q51" s="2"/>
      <c r="R51" s="7"/>
      <c r="S51" s="2" t="str">
        <f aca="false">IF(COUNTA(U51:W51)&gt;0,"Yes","No")</f>
        <v>No</v>
      </c>
      <c r="T51" s="2" t="s">
        <v>452</v>
      </c>
      <c r="U51" s="2"/>
      <c r="V51" s="2"/>
      <c r="W51" s="2"/>
      <c r="X51" s="2" t="s">
        <v>453</v>
      </c>
      <c r="Y51" s="2" t="s">
        <v>454</v>
      </c>
      <c r="Z51" s="2" t="s">
        <v>455</v>
      </c>
      <c r="AA51" s="2" t="s">
        <v>331</v>
      </c>
      <c r="AB51" s="2" t="s">
        <v>332</v>
      </c>
      <c r="AC51" s="2" t="s">
        <v>333</v>
      </c>
      <c r="AD51" s="2" t="s">
        <v>334</v>
      </c>
      <c r="AE51" s="2" t="s">
        <v>335</v>
      </c>
      <c r="AF51" s="2" t="s">
        <v>45</v>
      </c>
      <c r="AG51" s="2" t="s">
        <v>45</v>
      </c>
      <c r="AH51" s="2" t="s">
        <v>45</v>
      </c>
      <c r="AI51" s="2" t="n">
        <f aca="false">COUNTIF('Needs review'!$A:$A,B51)</f>
        <v>0</v>
      </c>
    </row>
    <row r="52" customFormat="false" ht="15" hidden="false" customHeight="false" outlineLevel="0" collapsed="false">
      <c r="A52" s="2" t="s">
        <v>456</v>
      </c>
      <c r="B52" s="2" t="s">
        <v>457</v>
      </c>
      <c r="C52" s="2" t="s">
        <v>37</v>
      </c>
      <c r="D52" s="2" t="s">
        <v>323</v>
      </c>
      <c r="E52" s="2" t="s">
        <v>39</v>
      </c>
      <c r="F52" s="2" t="s">
        <v>40</v>
      </c>
      <c r="G52" s="2" t="s">
        <v>458</v>
      </c>
      <c r="H52" s="2" t="s">
        <v>459</v>
      </c>
      <c r="I52" s="3" t="n">
        <v>3</v>
      </c>
      <c r="J52" s="2" t="n">
        <v>2</v>
      </c>
      <c r="K52" s="4" t="n">
        <v>2038</v>
      </c>
      <c r="L52" s="5" t="n">
        <v>42</v>
      </c>
      <c r="M52" s="5" t="n">
        <v>62</v>
      </c>
      <c r="N52" s="2" t="s">
        <v>460</v>
      </c>
      <c r="O52" s="2" t="s">
        <v>461</v>
      </c>
      <c r="P52" s="6" t="s">
        <v>45</v>
      </c>
      <c r="Q52" s="2"/>
      <c r="R52" s="7"/>
      <c r="S52" s="2" t="str">
        <f aca="false">IF(COUNTA(U52:W52)&gt;0,"Yes","No")</f>
        <v>Yes</v>
      </c>
      <c r="T52" s="2" t="s">
        <v>462</v>
      </c>
      <c r="U52" s="2" t="s">
        <v>463</v>
      </c>
      <c r="V52" s="2"/>
      <c r="W52" s="2"/>
      <c r="X52" s="2" t="s">
        <v>464</v>
      </c>
      <c r="Y52" s="2" t="s">
        <v>465</v>
      </c>
      <c r="Z52" s="2" t="s">
        <v>466</v>
      </c>
      <c r="AA52" s="2" t="s">
        <v>331</v>
      </c>
      <c r="AB52" s="2" t="s">
        <v>332</v>
      </c>
      <c r="AC52" s="2" t="s">
        <v>333</v>
      </c>
      <c r="AD52" s="2" t="s">
        <v>334</v>
      </c>
      <c r="AE52" s="2" t="s">
        <v>335</v>
      </c>
      <c r="AF52" s="2" t="s">
        <v>45</v>
      </c>
      <c r="AG52" s="2" t="s">
        <v>45</v>
      </c>
      <c r="AH52" s="2" t="s">
        <v>45</v>
      </c>
      <c r="AI52" s="2" t="n">
        <f aca="false">COUNTIF('Needs review'!$A:$A,B52)</f>
        <v>1</v>
      </c>
    </row>
    <row r="53" customFormat="false" ht="15" hidden="false" customHeight="false" outlineLevel="0" collapsed="false">
      <c r="A53" s="2" t="s">
        <v>467</v>
      </c>
      <c r="B53" s="2" t="s">
        <v>468</v>
      </c>
      <c r="C53" s="2" t="s">
        <v>37</v>
      </c>
      <c r="D53" s="2" t="s">
        <v>323</v>
      </c>
      <c r="E53" s="2" t="s">
        <v>39</v>
      </c>
      <c r="F53" s="2" t="s">
        <v>40</v>
      </c>
      <c r="G53" s="2" t="s">
        <v>469</v>
      </c>
      <c r="H53" s="2" t="s">
        <v>470</v>
      </c>
      <c r="I53" s="3" t="n">
        <v>4</v>
      </c>
      <c r="J53" s="2" t="n">
        <v>2</v>
      </c>
      <c r="K53" s="4" t="n">
        <v>2280</v>
      </c>
      <c r="L53" s="5" t="n">
        <v>30</v>
      </c>
      <c r="M53" s="5" t="n">
        <v>76</v>
      </c>
      <c r="N53" s="2" t="s">
        <v>65</v>
      </c>
      <c r="O53" s="2" t="s">
        <v>471</v>
      </c>
      <c r="P53" s="6" t="s">
        <v>45</v>
      </c>
      <c r="Q53" s="2"/>
      <c r="R53" s="7"/>
      <c r="S53" s="2" t="str">
        <f aca="false">IF(COUNTA(U53:W53)&gt;0,"Yes","No")</f>
        <v>Yes</v>
      </c>
      <c r="T53" s="2" t="s">
        <v>472</v>
      </c>
      <c r="U53" s="2"/>
      <c r="V53" s="2" t="s">
        <v>473</v>
      </c>
      <c r="W53" s="2"/>
      <c r="X53" s="2" t="s">
        <v>474</v>
      </c>
      <c r="Y53" s="2" t="s">
        <v>475</v>
      </c>
      <c r="Z53" s="2" t="s">
        <v>476</v>
      </c>
      <c r="AA53" s="2" t="s">
        <v>331</v>
      </c>
      <c r="AB53" s="2" t="s">
        <v>332</v>
      </c>
      <c r="AC53" s="2" t="s">
        <v>333</v>
      </c>
      <c r="AD53" s="2" t="s">
        <v>334</v>
      </c>
      <c r="AE53" s="2" t="s">
        <v>335</v>
      </c>
      <c r="AF53" s="2" t="s">
        <v>45</v>
      </c>
      <c r="AG53" s="2" t="s">
        <v>45</v>
      </c>
      <c r="AH53" s="2" t="s">
        <v>45</v>
      </c>
      <c r="AI53" s="2" t="n">
        <f aca="false">COUNTIF('Needs review'!$A:$A,B53)</f>
        <v>0</v>
      </c>
    </row>
    <row r="54" customFormat="false" ht="15" hidden="false" customHeight="false" outlineLevel="0" collapsed="false">
      <c r="A54" s="2" t="s">
        <v>477</v>
      </c>
      <c r="B54" s="2" t="s">
        <v>478</v>
      </c>
      <c r="C54" s="2" t="s">
        <v>37</v>
      </c>
      <c r="D54" s="2" t="s">
        <v>323</v>
      </c>
      <c r="E54" s="2" t="s">
        <v>39</v>
      </c>
      <c r="F54" s="2" t="s">
        <v>40</v>
      </c>
      <c r="G54" s="2" t="s">
        <v>479</v>
      </c>
      <c r="H54" s="2" t="s">
        <v>480</v>
      </c>
      <c r="I54" s="3" t="n">
        <v>4</v>
      </c>
      <c r="J54" s="2" t="n">
        <v>2</v>
      </c>
      <c r="K54" s="4" t="n">
        <v>2280</v>
      </c>
      <c r="L54" s="5" t="n">
        <v>30</v>
      </c>
      <c r="M54" s="5" t="n">
        <v>76</v>
      </c>
      <c r="N54" s="2" t="s">
        <v>65</v>
      </c>
      <c r="O54" s="2" t="s">
        <v>471</v>
      </c>
      <c r="P54" s="6" t="s">
        <v>45</v>
      </c>
      <c r="Q54" s="2"/>
      <c r="R54" s="7"/>
      <c r="S54" s="2" t="str">
        <f aca="false">IF(COUNTA(U54:W54)&gt;0,"Yes","No")</f>
        <v>No</v>
      </c>
      <c r="T54" s="2" t="s">
        <v>481</v>
      </c>
      <c r="U54" s="2"/>
      <c r="V54" s="2"/>
      <c r="W54" s="2"/>
      <c r="X54" s="2" t="s">
        <v>482</v>
      </c>
      <c r="Y54" s="2" t="s">
        <v>483</v>
      </c>
      <c r="Z54" s="2" t="s">
        <v>484</v>
      </c>
      <c r="AA54" s="2" t="s">
        <v>331</v>
      </c>
      <c r="AB54" s="2" t="s">
        <v>332</v>
      </c>
      <c r="AC54" s="2" t="s">
        <v>333</v>
      </c>
      <c r="AD54" s="2" t="s">
        <v>334</v>
      </c>
      <c r="AE54" s="2" t="s">
        <v>335</v>
      </c>
      <c r="AF54" s="2" t="s">
        <v>45</v>
      </c>
      <c r="AG54" s="2" t="s">
        <v>45</v>
      </c>
      <c r="AH54" s="2" t="s">
        <v>45</v>
      </c>
      <c r="AI54" s="2" t="n">
        <f aca="false">COUNTIF('Needs review'!$A:$A,B54)</f>
        <v>0</v>
      </c>
    </row>
    <row r="55" customFormat="false" ht="15" hidden="false" customHeight="false" outlineLevel="0" collapsed="false">
      <c r="A55" s="2" t="s">
        <v>485</v>
      </c>
      <c r="B55" s="2" t="s">
        <v>486</v>
      </c>
      <c r="C55" s="2" t="s">
        <v>37</v>
      </c>
      <c r="D55" s="2" t="s">
        <v>323</v>
      </c>
      <c r="E55" s="2" t="s">
        <v>39</v>
      </c>
      <c r="F55" s="2" t="s">
        <v>40</v>
      </c>
      <c r="G55" s="2" t="s">
        <v>487</v>
      </c>
      <c r="H55" s="2" t="s">
        <v>488</v>
      </c>
      <c r="I55" s="3" t="n">
        <v>3</v>
      </c>
      <c r="J55" s="2" t="n">
        <v>2</v>
      </c>
      <c r="K55" s="4" t="n">
        <v>2347</v>
      </c>
      <c r="L55" s="5" t="n">
        <v>40</v>
      </c>
      <c r="M55" s="5" t="n">
        <v>60</v>
      </c>
      <c r="N55" s="2" t="s">
        <v>65</v>
      </c>
      <c r="O55" s="2" t="s">
        <v>461</v>
      </c>
      <c r="P55" s="6" t="s">
        <v>45</v>
      </c>
      <c r="Q55" s="2"/>
      <c r="R55" s="7"/>
      <c r="S55" s="2" t="str">
        <f aca="false">IF(COUNTA(U55:W55)&gt;0,"Yes","No")</f>
        <v>No</v>
      </c>
      <c r="T55" s="2" t="s">
        <v>489</v>
      </c>
      <c r="U55" s="2"/>
      <c r="V55" s="2"/>
      <c r="W55" s="2"/>
      <c r="X55" s="2" t="s">
        <v>490</v>
      </c>
      <c r="Y55" s="2" t="s">
        <v>491</v>
      </c>
      <c r="Z55" s="2" t="s">
        <v>492</v>
      </c>
      <c r="AA55" s="2" t="s">
        <v>331</v>
      </c>
      <c r="AB55" s="2" t="s">
        <v>332</v>
      </c>
      <c r="AC55" s="2" t="s">
        <v>333</v>
      </c>
      <c r="AD55" s="2" t="s">
        <v>334</v>
      </c>
      <c r="AE55" s="2" t="s">
        <v>335</v>
      </c>
      <c r="AF55" s="2" t="s">
        <v>45</v>
      </c>
      <c r="AG55" s="2" t="s">
        <v>45</v>
      </c>
      <c r="AH55" s="2" t="s">
        <v>45</v>
      </c>
      <c r="AI55" s="2" t="n">
        <f aca="false">COUNTIF('Needs review'!$A:$A,B55)</f>
        <v>0</v>
      </c>
    </row>
    <row r="56" customFormat="false" ht="15" hidden="false" customHeight="false" outlineLevel="0" collapsed="false">
      <c r="A56" s="2" t="s">
        <v>493</v>
      </c>
      <c r="B56" s="2" t="s">
        <v>494</v>
      </c>
      <c r="C56" s="2" t="s">
        <v>37</v>
      </c>
      <c r="D56" s="2" t="s">
        <v>323</v>
      </c>
      <c r="E56" s="2" t="s">
        <v>39</v>
      </c>
      <c r="F56" s="2" t="s">
        <v>40</v>
      </c>
      <c r="G56" s="2" t="s">
        <v>495</v>
      </c>
      <c r="H56" s="2" t="s">
        <v>496</v>
      </c>
      <c r="I56" s="3" t="n">
        <v>3</v>
      </c>
      <c r="J56" s="2" t="n">
        <v>3</v>
      </c>
      <c r="K56" s="4" t="n">
        <v>2347</v>
      </c>
      <c r="L56" s="5" t="n">
        <v>40</v>
      </c>
      <c r="M56" s="5" t="n">
        <v>60</v>
      </c>
      <c r="N56" s="2" t="s">
        <v>460</v>
      </c>
      <c r="O56" s="2" t="s">
        <v>461</v>
      </c>
      <c r="P56" s="6" t="s">
        <v>45</v>
      </c>
      <c r="Q56" s="2"/>
      <c r="R56" s="7"/>
      <c r="S56" s="2" t="str">
        <f aca="false">IF(COUNTA(U56:W56)&gt;0,"Yes","No")</f>
        <v>No</v>
      </c>
      <c r="T56" s="2" t="s">
        <v>497</v>
      </c>
      <c r="U56" s="2"/>
      <c r="V56" s="2"/>
      <c r="W56" s="2"/>
      <c r="X56" s="2" t="s">
        <v>498</v>
      </c>
      <c r="Y56" s="2" t="s">
        <v>499</v>
      </c>
      <c r="Z56" s="2" t="s">
        <v>500</v>
      </c>
      <c r="AA56" s="2" t="s">
        <v>331</v>
      </c>
      <c r="AB56" s="2" t="s">
        <v>332</v>
      </c>
      <c r="AC56" s="2" t="s">
        <v>333</v>
      </c>
      <c r="AD56" s="2" t="s">
        <v>334</v>
      </c>
      <c r="AE56" s="2" t="s">
        <v>335</v>
      </c>
      <c r="AF56" s="2" t="s">
        <v>45</v>
      </c>
      <c r="AG56" s="2" t="s">
        <v>45</v>
      </c>
      <c r="AH56" s="2" t="s">
        <v>45</v>
      </c>
      <c r="AI56" s="2" t="n">
        <f aca="false">COUNTIF('Needs review'!$A:$A,B56)</f>
        <v>0</v>
      </c>
    </row>
    <row r="57" customFormat="false" ht="15" hidden="false" customHeight="false" outlineLevel="0" collapsed="false">
      <c r="A57" s="2" t="s">
        <v>501</v>
      </c>
      <c r="B57" s="2" t="s">
        <v>502</v>
      </c>
      <c r="C57" s="2" t="s">
        <v>37</v>
      </c>
      <c r="D57" s="2" t="s">
        <v>323</v>
      </c>
      <c r="E57" s="2" t="s">
        <v>39</v>
      </c>
      <c r="F57" s="2" t="s">
        <v>40</v>
      </c>
      <c r="G57" s="2" t="s">
        <v>503</v>
      </c>
      <c r="H57" s="2" t="s">
        <v>504</v>
      </c>
      <c r="I57" s="3" t="n">
        <v>4</v>
      </c>
      <c r="J57" s="2" t="n">
        <v>2</v>
      </c>
      <c r="K57" s="4" t="n">
        <v>2654</v>
      </c>
      <c r="L57" s="5" t="n">
        <v>40</v>
      </c>
      <c r="M57" s="5" t="n">
        <v>68</v>
      </c>
      <c r="N57" s="2" t="s">
        <v>460</v>
      </c>
      <c r="O57" s="2" t="s">
        <v>461</v>
      </c>
      <c r="P57" s="6" t="s">
        <v>45</v>
      </c>
      <c r="Q57" s="2"/>
      <c r="R57" s="7"/>
      <c r="S57" s="2" t="str">
        <f aca="false">IF(COUNTA(U57:W57)&gt;0,"Yes","No")</f>
        <v>No</v>
      </c>
      <c r="T57" s="2" t="s">
        <v>505</v>
      </c>
      <c r="U57" s="2"/>
      <c r="V57" s="2"/>
      <c r="W57" s="2"/>
      <c r="X57" s="2" t="s">
        <v>506</v>
      </c>
      <c r="Y57" s="2" t="s">
        <v>507</v>
      </c>
      <c r="Z57" s="2" t="s">
        <v>508</v>
      </c>
      <c r="AA57" s="2" t="s">
        <v>331</v>
      </c>
      <c r="AB57" s="2" t="s">
        <v>332</v>
      </c>
      <c r="AC57" s="2" t="s">
        <v>333</v>
      </c>
      <c r="AD57" s="2" t="s">
        <v>334</v>
      </c>
      <c r="AE57" s="2" t="s">
        <v>335</v>
      </c>
      <c r="AF57" s="2" t="s">
        <v>45</v>
      </c>
      <c r="AG57" s="2" t="s">
        <v>45</v>
      </c>
      <c r="AH57" s="2" t="s">
        <v>45</v>
      </c>
      <c r="AI57" s="2" t="n">
        <f aca="false">COUNTIF('Needs review'!$A:$A,B57)</f>
        <v>0</v>
      </c>
    </row>
    <row r="58" customFormat="false" ht="15" hidden="false" customHeight="false" outlineLevel="0" collapsed="false">
      <c r="A58" s="2" t="s">
        <v>509</v>
      </c>
      <c r="B58" s="2" t="s">
        <v>510</v>
      </c>
      <c r="C58" s="2" t="s">
        <v>37</v>
      </c>
      <c r="D58" s="2" t="s">
        <v>511</v>
      </c>
      <c r="E58" s="2" t="s">
        <v>39</v>
      </c>
      <c r="F58" s="2" t="s">
        <v>511</v>
      </c>
      <c r="G58" s="2" t="s">
        <v>512</v>
      </c>
      <c r="H58" s="2"/>
      <c r="I58" s="3"/>
      <c r="J58" s="2"/>
      <c r="K58" s="4" t="n">
        <v>870</v>
      </c>
      <c r="L58" s="5"/>
      <c r="M58" s="5"/>
      <c r="N58" s="2" t="s">
        <v>43</v>
      </c>
      <c r="O58" s="2"/>
      <c r="P58" s="6" t="s">
        <v>122</v>
      </c>
      <c r="Q58" s="2" t="s">
        <v>513</v>
      </c>
      <c r="R58" s="7"/>
      <c r="S58" s="2" t="str">
        <f aca="false">IF(COUNTA(U58:W58)&gt;0,"Yes","No")</f>
        <v>No</v>
      </c>
      <c r="T58" s="2"/>
      <c r="U58" s="2"/>
      <c r="V58" s="2"/>
      <c r="W58" s="2"/>
      <c r="X58" s="2" t="s">
        <v>514</v>
      </c>
      <c r="Y58" s="2" t="s">
        <v>515</v>
      </c>
      <c r="Z58" s="2"/>
      <c r="AA58" s="2"/>
      <c r="AB58" s="2"/>
      <c r="AC58" s="2"/>
      <c r="AD58" s="2"/>
      <c r="AE58" s="2"/>
      <c r="AF58" s="2" t="s">
        <v>122</v>
      </c>
      <c r="AG58" s="2" t="s">
        <v>45</v>
      </c>
      <c r="AH58" s="2" t="s">
        <v>45</v>
      </c>
      <c r="AI58" s="2" t="n">
        <f aca="false">COUNTIF('Needs review'!$A:$A,B58)</f>
        <v>2</v>
      </c>
    </row>
    <row r="59" customFormat="false" ht="15" hidden="false" customHeight="false" outlineLevel="0" collapsed="false">
      <c r="A59" s="2" t="s">
        <v>516</v>
      </c>
      <c r="B59" s="2" t="s">
        <v>517</v>
      </c>
      <c r="C59" s="2" t="s">
        <v>37</v>
      </c>
      <c r="D59" s="2" t="s">
        <v>511</v>
      </c>
      <c r="E59" s="2" t="s">
        <v>39</v>
      </c>
      <c r="F59" s="2" t="s">
        <v>511</v>
      </c>
      <c r="G59" s="2" t="s">
        <v>518</v>
      </c>
      <c r="H59" s="2"/>
      <c r="I59" s="3" t="n">
        <v>3</v>
      </c>
      <c r="J59" s="2" t="n">
        <v>2</v>
      </c>
      <c r="K59" s="4" t="n">
        <v>2160</v>
      </c>
      <c r="L59" s="5" t="n">
        <v>30</v>
      </c>
      <c r="M59" s="5" t="n">
        <v>72</v>
      </c>
      <c r="N59" s="2" t="s">
        <v>65</v>
      </c>
      <c r="O59" s="2" t="s">
        <v>519</v>
      </c>
      <c r="P59" s="6" t="s">
        <v>45</v>
      </c>
      <c r="Q59" s="2"/>
      <c r="R59" s="7"/>
      <c r="S59" s="2" t="str">
        <f aca="false">IF(COUNTA(U59:W59)&gt;0,"Yes","No")</f>
        <v>Yes</v>
      </c>
      <c r="T59" s="2"/>
      <c r="U59" s="2"/>
      <c r="V59" s="2"/>
      <c r="W59" s="2" t="s">
        <v>520</v>
      </c>
      <c r="X59" s="2" t="s">
        <v>521</v>
      </c>
      <c r="Y59" s="2" t="s">
        <v>522</v>
      </c>
      <c r="Z59" s="2" t="s">
        <v>523</v>
      </c>
      <c r="AA59" s="2"/>
      <c r="AB59" s="2"/>
      <c r="AC59" s="2"/>
      <c r="AD59" s="2"/>
      <c r="AE59" s="2"/>
      <c r="AF59" s="2" t="s">
        <v>122</v>
      </c>
      <c r="AG59" s="2" t="s">
        <v>45</v>
      </c>
      <c r="AH59" s="2" t="s">
        <v>45</v>
      </c>
      <c r="AI59" s="2" t="n">
        <f aca="false">COUNTIF('Needs review'!$A:$A,B59)</f>
        <v>1</v>
      </c>
    </row>
    <row r="60" customFormat="false" ht="15" hidden="false" customHeight="false" outlineLevel="0" collapsed="false">
      <c r="A60" s="2" t="s">
        <v>524</v>
      </c>
      <c r="B60" s="2" t="s">
        <v>525</v>
      </c>
      <c r="C60" s="2" t="s">
        <v>37</v>
      </c>
      <c r="D60" s="2" t="s">
        <v>511</v>
      </c>
      <c r="E60" s="2" t="s">
        <v>39</v>
      </c>
      <c r="F60" s="2" t="s">
        <v>511</v>
      </c>
      <c r="G60" s="2" t="s">
        <v>526</v>
      </c>
      <c r="H60" s="2"/>
      <c r="I60" s="3" t="n">
        <v>3</v>
      </c>
      <c r="J60" s="2" t="n">
        <v>2</v>
      </c>
      <c r="K60" s="4" t="n">
        <v>2160</v>
      </c>
      <c r="L60" s="5" t="n">
        <v>30</v>
      </c>
      <c r="M60" s="5" t="n">
        <v>72</v>
      </c>
      <c r="N60" s="2" t="s">
        <v>65</v>
      </c>
      <c r="O60" s="2" t="s">
        <v>519</v>
      </c>
      <c r="P60" s="6" t="s">
        <v>45</v>
      </c>
      <c r="Q60" s="2"/>
      <c r="R60" s="7"/>
      <c r="S60" s="2" t="str">
        <f aca="false">IF(COUNTA(U60:W60)&gt;0,"Yes","No")</f>
        <v>Yes</v>
      </c>
      <c r="T60" s="2"/>
      <c r="U60" s="2"/>
      <c r="V60" s="2"/>
      <c r="W60" s="2" t="s">
        <v>520</v>
      </c>
      <c r="X60" s="2" t="s">
        <v>527</v>
      </c>
      <c r="Y60" s="2" t="s">
        <v>528</v>
      </c>
      <c r="Z60" s="2" t="s">
        <v>529</v>
      </c>
      <c r="AA60" s="2"/>
      <c r="AB60" s="2"/>
      <c r="AC60" s="2"/>
      <c r="AD60" s="2"/>
      <c r="AE60" s="2"/>
      <c r="AF60" s="2" t="s">
        <v>122</v>
      </c>
      <c r="AG60" s="2" t="s">
        <v>45</v>
      </c>
      <c r="AH60" s="2" t="s">
        <v>45</v>
      </c>
      <c r="AI60" s="2" t="n">
        <f aca="false">COUNTIF('Needs review'!$A:$A,B60)</f>
        <v>1</v>
      </c>
    </row>
    <row r="61" customFormat="false" ht="15" hidden="false" customHeight="false" outlineLevel="0" collapsed="false">
      <c r="A61" s="2" t="s">
        <v>530</v>
      </c>
      <c r="B61" s="2" t="s">
        <v>531</v>
      </c>
      <c r="C61" s="2" t="s">
        <v>37</v>
      </c>
      <c r="D61" s="2" t="s">
        <v>511</v>
      </c>
      <c r="E61" s="2" t="s">
        <v>39</v>
      </c>
      <c r="F61" s="2" t="s">
        <v>511</v>
      </c>
      <c r="G61" s="2" t="s">
        <v>532</v>
      </c>
      <c r="H61" s="2"/>
      <c r="I61" s="3" t="n">
        <v>3</v>
      </c>
      <c r="J61" s="2" t="n">
        <v>2</v>
      </c>
      <c r="K61" s="4" t="n">
        <v>2160</v>
      </c>
      <c r="L61" s="5" t="n">
        <v>30</v>
      </c>
      <c r="M61" s="5" t="n">
        <v>72</v>
      </c>
      <c r="N61" s="2" t="s">
        <v>65</v>
      </c>
      <c r="O61" s="2" t="s">
        <v>519</v>
      </c>
      <c r="P61" s="6" t="s">
        <v>45</v>
      </c>
      <c r="Q61" s="2"/>
      <c r="R61" s="7"/>
      <c r="S61" s="2" t="str">
        <f aca="false">IF(COUNTA(U61:W61)&gt;0,"Yes","No")</f>
        <v>No</v>
      </c>
      <c r="T61" s="2"/>
      <c r="U61" s="2"/>
      <c r="V61" s="2"/>
      <c r="W61" s="2"/>
      <c r="X61" s="2" t="s">
        <v>533</v>
      </c>
      <c r="Y61" s="2" t="s">
        <v>534</v>
      </c>
      <c r="Z61" s="2" t="s">
        <v>535</v>
      </c>
      <c r="AA61" s="2"/>
      <c r="AB61" s="2"/>
      <c r="AC61" s="2"/>
      <c r="AD61" s="2"/>
      <c r="AE61" s="2"/>
      <c r="AF61" s="2" t="s">
        <v>122</v>
      </c>
      <c r="AG61" s="2" t="s">
        <v>45</v>
      </c>
      <c r="AH61" s="2" t="s">
        <v>45</v>
      </c>
      <c r="AI61" s="2" t="n">
        <f aca="false">COUNTIF('Needs review'!$A:$A,B61)</f>
        <v>1</v>
      </c>
    </row>
    <row r="62" customFormat="false" ht="15" hidden="false" customHeight="false" outlineLevel="0" collapsed="false">
      <c r="A62" s="2" t="s">
        <v>536</v>
      </c>
      <c r="B62" s="2" t="s">
        <v>537</v>
      </c>
      <c r="C62" s="2" t="s">
        <v>37</v>
      </c>
      <c r="D62" s="2" t="s">
        <v>538</v>
      </c>
      <c r="E62" s="2" t="s">
        <v>39</v>
      </c>
      <c r="F62" s="2" t="s">
        <v>539</v>
      </c>
      <c r="G62" s="2" t="s">
        <v>540</v>
      </c>
      <c r="H62" s="2"/>
      <c r="I62" s="3" t="n">
        <v>1</v>
      </c>
      <c r="J62" s="2" t="n">
        <v>1</v>
      </c>
      <c r="K62" s="4" t="n">
        <v>396</v>
      </c>
      <c r="L62" s="5" t="n">
        <v>12</v>
      </c>
      <c r="M62" s="5" t="n">
        <v>33</v>
      </c>
      <c r="N62" s="2" t="s">
        <v>43</v>
      </c>
      <c r="O62" s="2" t="s">
        <v>541</v>
      </c>
      <c r="P62" s="6" t="s">
        <v>45</v>
      </c>
      <c r="Q62" s="2"/>
      <c r="R62" s="7"/>
      <c r="S62" s="2" t="str">
        <f aca="false">IF(COUNTA(U62:W62)&gt;0,"Yes","No")</f>
        <v>Yes</v>
      </c>
      <c r="T62" s="2"/>
      <c r="U62" s="2"/>
      <c r="V62" s="2"/>
      <c r="W62" s="2" t="s">
        <v>542</v>
      </c>
      <c r="X62" s="2" t="s">
        <v>543</v>
      </c>
      <c r="Y62" s="2" t="s">
        <v>544</v>
      </c>
      <c r="Z62" s="2" t="s">
        <v>545</v>
      </c>
      <c r="AA62" s="2"/>
      <c r="AB62" s="2"/>
      <c r="AC62" s="2"/>
      <c r="AD62" s="2"/>
      <c r="AE62" s="2"/>
      <c r="AF62" s="2" t="s">
        <v>122</v>
      </c>
      <c r="AG62" s="2" t="s">
        <v>45</v>
      </c>
      <c r="AH62" s="2" t="s">
        <v>45</v>
      </c>
      <c r="AI62" s="2" t="n">
        <f aca="false">COUNTIF('Needs review'!$A:$A,B62)</f>
        <v>1</v>
      </c>
    </row>
    <row r="63" customFormat="false" ht="15" hidden="false" customHeight="false" outlineLevel="0" collapsed="false">
      <c r="A63" s="2" t="s">
        <v>546</v>
      </c>
      <c r="B63" s="2" t="s">
        <v>547</v>
      </c>
      <c r="C63" s="2" t="s">
        <v>548</v>
      </c>
      <c r="D63" s="2" t="s">
        <v>549</v>
      </c>
      <c r="E63" s="2" t="s">
        <v>39</v>
      </c>
      <c r="F63" s="2" t="s">
        <v>40</v>
      </c>
      <c r="G63" s="2" t="s">
        <v>550</v>
      </c>
      <c r="H63" s="2"/>
      <c r="I63" s="3" t="n">
        <v>1</v>
      </c>
      <c r="J63" s="2" t="n">
        <v>1</v>
      </c>
      <c r="K63" s="4" t="n">
        <v>480</v>
      </c>
      <c r="L63" s="5" t="n">
        <v>13.33</v>
      </c>
      <c r="M63" s="5" t="n">
        <v>36</v>
      </c>
      <c r="N63" s="2" t="s">
        <v>43</v>
      </c>
      <c r="O63" s="2" t="s">
        <v>551</v>
      </c>
      <c r="P63" s="6" t="s">
        <v>45</v>
      </c>
      <c r="Q63" s="2"/>
      <c r="R63" s="7"/>
      <c r="S63" s="2" t="str">
        <f aca="false">IF(COUNTA(U63:W63)&gt;0,"Yes","No")</f>
        <v>Yes</v>
      </c>
      <c r="T63" s="2" t="s">
        <v>552</v>
      </c>
      <c r="U63" s="2"/>
      <c r="V63" s="2" t="s">
        <v>553</v>
      </c>
      <c r="W63" s="2"/>
      <c r="X63" s="2" t="s">
        <v>554</v>
      </c>
      <c r="Y63" s="2" t="s">
        <v>555</v>
      </c>
      <c r="Z63" s="2" t="s">
        <v>556</v>
      </c>
      <c r="AA63" s="2"/>
      <c r="AB63" s="2"/>
      <c r="AC63" s="2"/>
      <c r="AD63" s="2"/>
      <c r="AE63" s="2"/>
      <c r="AF63" s="2" t="s">
        <v>45</v>
      </c>
      <c r="AG63" s="2" t="s">
        <v>45</v>
      </c>
      <c r="AH63" s="2" t="s">
        <v>45</v>
      </c>
      <c r="AI63" s="2" t="n">
        <f aca="false">COUNTIF('Needs review'!$A:$A,B63)</f>
        <v>0</v>
      </c>
    </row>
    <row r="64" customFormat="false" ht="15" hidden="false" customHeight="false" outlineLevel="0" collapsed="false">
      <c r="A64" s="2" t="s">
        <v>557</v>
      </c>
      <c r="B64" s="2" t="s">
        <v>558</v>
      </c>
      <c r="C64" s="2" t="s">
        <v>548</v>
      </c>
      <c r="D64" s="2" t="s">
        <v>549</v>
      </c>
      <c r="E64" s="2" t="s">
        <v>39</v>
      </c>
      <c r="F64" s="2" t="s">
        <v>40</v>
      </c>
      <c r="G64" s="2" t="s">
        <v>559</v>
      </c>
      <c r="H64" s="2"/>
      <c r="I64" s="3" t="n">
        <v>1</v>
      </c>
      <c r="J64" s="2" t="n">
        <v>1</v>
      </c>
      <c r="K64" s="4" t="n">
        <v>533</v>
      </c>
      <c r="L64" s="5" t="n">
        <v>13.33</v>
      </c>
      <c r="M64" s="5" t="n">
        <v>40</v>
      </c>
      <c r="N64" s="2" t="s">
        <v>43</v>
      </c>
      <c r="O64" s="2" t="s">
        <v>560</v>
      </c>
      <c r="P64" s="6" t="s">
        <v>45</v>
      </c>
      <c r="Q64" s="2"/>
      <c r="R64" s="7"/>
      <c r="S64" s="2" t="str">
        <f aca="false">IF(COUNTA(U64:W64)&gt;0,"Yes","No")</f>
        <v>No</v>
      </c>
      <c r="T64" s="2" t="s">
        <v>561</v>
      </c>
      <c r="U64" s="2"/>
      <c r="V64" s="2"/>
      <c r="W64" s="2"/>
      <c r="X64" s="2" t="s">
        <v>562</v>
      </c>
      <c r="Y64" s="2" t="s">
        <v>563</v>
      </c>
      <c r="Z64" s="2" t="s">
        <v>564</v>
      </c>
      <c r="AA64" s="2"/>
      <c r="AB64" s="2"/>
      <c r="AC64" s="2"/>
      <c r="AD64" s="2"/>
      <c r="AE64" s="2"/>
      <c r="AF64" s="2" t="s">
        <v>45</v>
      </c>
      <c r="AG64" s="2" t="s">
        <v>45</v>
      </c>
      <c r="AH64" s="2" t="s">
        <v>45</v>
      </c>
      <c r="AI64" s="2" t="n">
        <f aca="false">COUNTIF('Needs review'!$A:$A,B64)</f>
        <v>0</v>
      </c>
    </row>
    <row r="65" customFormat="false" ht="15" hidden="false" customHeight="false" outlineLevel="0" collapsed="false">
      <c r="A65" s="2" t="s">
        <v>565</v>
      </c>
      <c r="B65" s="2" t="s">
        <v>566</v>
      </c>
      <c r="C65" s="2" t="s">
        <v>548</v>
      </c>
      <c r="D65" s="2" t="s">
        <v>549</v>
      </c>
      <c r="E65" s="2" t="s">
        <v>39</v>
      </c>
      <c r="F65" s="2" t="s">
        <v>40</v>
      </c>
      <c r="G65" s="2" t="s">
        <v>567</v>
      </c>
      <c r="H65" s="2"/>
      <c r="I65" s="3" t="n">
        <v>2</v>
      </c>
      <c r="J65" s="2" t="n">
        <v>1</v>
      </c>
      <c r="K65" s="4" t="n">
        <v>640</v>
      </c>
      <c r="L65" s="5" t="n">
        <v>13.33</v>
      </c>
      <c r="M65" s="5" t="n">
        <v>48</v>
      </c>
      <c r="N65" s="2" t="s">
        <v>43</v>
      </c>
      <c r="O65" s="2" t="s">
        <v>568</v>
      </c>
      <c r="P65" s="6" t="s">
        <v>45</v>
      </c>
      <c r="Q65" s="2"/>
      <c r="R65" s="7"/>
      <c r="S65" s="2" t="str">
        <f aca="false">IF(COUNTA(U65:W65)&gt;0,"Yes","No")</f>
        <v>No</v>
      </c>
      <c r="T65" s="2" t="s">
        <v>569</v>
      </c>
      <c r="U65" s="2"/>
      <c r="V65" s="2"/>
      <c r="W65" s="2"/>
      <c r="X65" s="2" t="s">
        <v>570</v>
      </c>
      <c r="Y65" s="2" t="s">
        <v>571</v>
      </c>
      <c r="Z65" s="2" t="s">
        <v>572</v>
      </c>
      <c r="AA65" s="2"/>
      <c r="AB65" s="2"/>
      <c r="AC65" s="2"/>
      <c r="AD65" s="2"/>
      <c r="AE65" s="2"/>
      <c r="AF65" s="2" t="s">
        <v>45</v>
      </c>
      <c r="AG65" s="2" t="s">
        <v>45</v>
      </c>
      <c r="AH65" s="2" t="s">
        <v>45</v>
      </c>
      <c r="AI65" s="2" t="n">
        <f aca="false">COUNTIF('Needs review'!$A:$A,B65)</f>
        <v>0</v>
      </c>
    </row>
    <row r="66" customFormat="false" ht="15" hidden="false" customHeight="false" outlineLevel="0" collapsed="false">
      <c r="A66" s="2" t="s">
        <v>573</v>
      </c>
      <c r="B66" s="2" t="s">
        <v>574</v>
      </c>
      <c r="C66" s="2" t="s">
        <v>548</v>
      </c>
      <c r="D66" s="2" t="s">
        <v>549</v>
      </c>
      <c r="E66" s="2" t="s">
        <v>39</v>
      </c>
      <c r="F66" s="2" t="s">
        <v>40</v>
      </c>
      <c r="G66" s="2" t="s">
        <v>575</v>
      </c>
      <c r="H66" s="2"/>
      <c r="I66" s="3" t="n">
        <v>2</v>
      </c>
      <c r="J66" s="2" t="n">
        <v>2</v>
      </c>
      <c r="K66" s="4" t="n">
        <v>720</v>
      </c>
      <c r="L66" s="5" t="n">
        <v>15</v>
      </c>
      <c r="M66" s="5" t="n">
        <v>48</v>
      </c>
      <c r="N66" s="2" t="s">
        <v>43</v>
      </c>
      <c r="O66" s="2" t="s">
        <v>576</v>
      </c>
      <c r="P66" s="6" t="s">
        <v>45</v>
      </c>
      <c r="Q66" s="2"/>
      <c r="R66" s="7"/>
      <c r="S66" s="2" t="str">
        <f aca="false">IF(COUNTA(U66:W66)&gt;0,"Yes","No")</f>
        <v>No</v>
      </c>
      <c r="T66" s="2" t="s">
        <v>577</v>
      </c>
      <c r="U66" s="2"/>
      <c r="V66" s="2"/>
      <c r="W66" s="2"/>
      <c r="X66" s="2" t="s">
        <v>578</v>
      </c>
      <c r="Y66" s="2" t="s">
        <v>579</v>
      </c>
      <c r="Z66" s="2" t="s">
        <v>580</v>
      </c>
      <c r="AA66" s="2"/>
      <c r="AB66" s="2"/>
      <c r="AC66" s="2"/>
      <c r="AD66" s="2"/>
      <c r="AE66" s="2"/>
      <c r="AF66" s="2" t="s">
        <v>45</v>
      </c>
      <c r="AG66" s="2" t="s">
        <v>45</v>
      </c>
      <c r="AH66" s="2" t="s">
        <v>45</v>
      </c>
      <c r="AI66" s="2" t="n">
        <f aca="false">COUNTIF('Needs review'!$A:$A,B66)</f>
        <v>0</v>
      </c>
    </row>
    <row r="67" customFormat="false" ht="15" hidden="false" customHeight="false" outlineLevel="0" collapsed="false">
      <c r="A67" s="2" t="s">
        <v>581</v>
      </c>
      <c r="B67" s="2" t="s">
        <v>582</v>
      </c>
      <c r="C67" s="2" t="s">
        <v>548</v>
      </c>
      <c r="D67" s="2" t="s">
        <v>549</v>
      </c>
      <c r="E67" s="2" t="s">
        <v>39</v>
      </c>
      <c r="F67" s="2" t="s">
        <v>40</v>
      </c>
      <c r="G67" s="2" t="s">
        <v>583</v>
      </c>
      <c r="H67" s="2"/>
      <c r="I67" s="3" t="n">
        <v>2</v>
      </c>
      <c r="J67" s="2" t="n">
        <v>1</v>
      </c>
      <c r="K67" s="4" t="n">
        <v>746</v>
      </c>
      <c r="L67" s="5" t="n">
        <v>13.33</v>
      </c>
      <c r="M67" s="5" t="n">
        <v>56</v>
      </c>
      <c r="N67" s="2" t="s">
        <v>43</v>
      </c>
      <c r="O67" s="2" t="s">
        <v>584</v>
      </c>
      <c r="P67" s="6" t="s">
        <v>45</v>
      </c>
      <c r="Q67" s="2"/>
      <c r="R67" s="7"/>
      <c r="S67" s="2" t="str">
        <f aca="false">IF(COUNTA(U67:W67)&gt;0,"Yes","No")</f>
        <v>No</v>
      </c>
      <c r="T67" s="2" t="s">
        <v>585</v>
      </c>
      <c r="U67" s="2"/>
      <c r="V67" s="2"/>
      <c r="W67" s="2"/>
      <c r="X67" s="2" t="s">
        <v>586</v>
      </c>
      <c r="Y67" s="2" t="s">
        <v>587</v>
      </c>
      <c r="Z67" s="2" t="s">
        <v>588</v>
      </c>
      <c r="AA67" s="2"/>
      <c r="AB67" s="2"/>
      <c r="AC67" s="2"/>
      <c r="AD67" s="2"/>
      <c r="AE67" s="2"/>
      <c r="AF67" s="2" t="s">
        <v>45</v>
      </c>
      <c r="AG67" s="2" t="s">
        <v>45</v>
      </c>
      <c r="AH67" s="2" t="s">
        <v>45</v>
      </c>
      <c r="AI67" s="2" t="n">
        <f aca="false">COUNTIF('Needs review'!$A:$A,B67)</f>
        <v>1</v>
      </c>
    </row>
    <row r="68" customFormat="false" ht="15" hidden="false" customHeight="false" outlineLevel="0" collapsed="false">
      <c r="A68" s="2" t="s">
        <v>589</v>
      </c>
      <c r="B68" s="2" t="s">
        <v>590</v>
      </c>
      <c r="C68" s="2" t="s">
        <v>548</v>
      </c>
      <c r="D68" s="2" t="s">
        <v>549</v>
      </c>
      <c r="E68" s="2" t="s">
        <v>39</v>
      </c>
      <c r="F68" s="2" t="s">
        <v>40</v>
      </c>
      <c r="G68" s="2" t="s">
        <v>591</v>
      </c>
      <c r="H68" s="2"/>
      <c r="I68" s="3" t="n">
        <v>2</v>
      </c>
      <c r="J68" s="2" t="n">
        <v>2</v>
      </c>
      <c r="K68" s="4" t="n">
        <v>800</v>
      </c>
      <c r="L68" s="5" t="n">
        <v>13.33</v>
      </c>
      <c r="M68" s="5" t="n">
        <v>60</v>
      </c>
      <c r="N68" s="2" t="s">
        <v>43</v>
      </c>
      <c r="O68" s="2" t="s">
        <v>592</v>
      </c>
      <c r="P68" s="6" t="s">
        <v>45</v>
      </c>
      <c r="Q68" s="2"/>
      <c r="R68" s="7"/>
      <c r="S68" s="2" t="str">
        <f aca="false">IF(COUNTA(U68:W68)&gt;0,"Yes","No")</f>
        <v>No</v>
      </c>
      <c r="T68" s="2" t="s">
        <v>593</v>
      </c>
      <c r="U68" s="2"/>
      <c r="V68" s="2"/>
      <c r="W68" s="2"/>
      <c r="X68" s="2" t="s">
        <v>594</v>
      </c>
      <c r="Y68" s="2" t="s">
        <v>595</v>
      </c>
      <c r="Z68" s="2" t="s">
        <v>596</v>
      </c>
      <c r="AA68" s="2"/>
      <c r="AB68" s="2"/>
      <c r="AC68" s="2"/>
      <c r="AD68" s="2"/>
      <c r="AE68" s="2"/>
      <c r="AF68" s="2" t="s">
        <v>45</v>
      </c>
      <c r="AG68" s="2" t="s">
        <v>45</v>
      </c>
      <c r="AH68" s="2" t="s">
        <v>45</v>
      </c>
      <c r="AI68" s="2" t="n">
        <f aca="false">COUNTIF('Needs review'!$A:$A,B68)</f>
        <v>0</v>
      </c>
    </row>
    <row r="69" customFormat="false" ht="15" hidden="false" customHeight="false" outlineLevel="0" collapsed="false">
      <c r="A69" s="2" t="s">
        <v>597</v>
      </c>
      <c r="B69" s="2" t="s">
        <v>598</v>
      </c>
      <c r="C69" s="2" t="s">
        <v>548</v>
      </c>
      <c r="D69" s="2" t="s">
        <v>549</v>
      </c>
      <c r="E69" s="2" t="s">
        <v>39</v>
      </c>
      <c r="F69" s="2" t="s">
        <v>40</v>
      </c>
      <c r="G69" s="2" t="s">
        <v>599</v>
      </c>
      <c r="H69" s="2"/>
      <c r="I69" s="3" t="n">
        <v>2</v>
      </c>
      <c r="J69" s="2" t="n">
        <v>2</v>
      </c>
      <c r="K69" s="4" t="n">
        <v>839</v>
      </c>
      <c r="L69" s="5" t="n">
        <v>19.67</v>
      </c>
      <c r="M69" s="5" t="n">
        <v>44</v>
      </c>
      <c r="N69" s="2" t="s">
        <v>65</v>
      </c>
      <c r="O69" s="2" t="s">
        <v>600</v>
      </c>
      <c r="P69" s="6" t="s">
        <v>45</v>
      </c>
      <c r="Q69" s="2"/>
      <c r="R69" s="7"/>
      <c r="S69" s="2" t="str">
        <f aca="false">IF(COUNTA(U69:W69)&gt;0,"Yes","No")</f>
        <v>No</v>
      </c>
      <c r="T69" s="2" t="s">
        <v>601</v>
      </c>
      <c r="U69" s="2"/>
      <c r="V69" s="2"/>
      <c r="W69" s="2"/>
      <c r="X69" s="2" t="s">
        <v>602</v>
      </c>
      <c r="Y69" s="2" t="s">
        <v>603</v>
      </c>
      <c r="Z69" s="2" t="s">
        <v>604</v>
      </c>
      <c r="AA69" s="2"/>
      <c r="AB69" s="2"/>
      <c r="AC69" s="2"/>
      <c r="AD69" s="2"/>
      <c r="AE69" s="2"/>
      <c r="AF69" s="2" t="s">
        <v>45</v>
      </c>
      <c r="AG69" s="2" t="s">
        <v>45</v>
      </c>
      <c r="AH69" s="2" t="s">
        <v>45</v>
      </c>
      <c r="AI69" s="2" t="n">
        <f aca="false">COUNTIF('Needs review'!$A:$A,B69)</f>
        <v>0</v>
      </c>
    </row>
    <row r="70" customFormat="false" ht="15" hidden="false" customHeight="false" outlineLevel="0" collapsed="false">
      <c r="A70" s="2" t="s">
        <v>605</v>
      </c>
      <c r="B70" s="2" t="s">
        <v>606</v>
      </c>
      <c r="C70" s="2" t="s">
        <v>548</v>
      </c>
      <c r="D70" s="2" t="s">
        <v>549</v>
      </c>
      <c r="E70" s="2" t="s">
        <v>39</v>
      </c>
      <c r="F70" s="2" t="s">
        <v>40</v>
      </c>
      <c r="G70" s="2" t="s">
        <v>607</v>
      </c>
      <c r="H70" s="2"/>
      <c r="I70" s="3" t="n">
        <v>2</v>
      </c>
      <c r="J70" s="2" t="n">
        <v>2</v>
      </c>
      <c r="K70" s="4" t="n">
        <v>840</v>
      </c>
      <c r="L70" s="5" t="n">
        <v>15</v>
      </c>
      <c r="M70" s="5" t="n">
        <v>56</v>
      </c>
      <c r="N70" s="2" t="s">
        <v>43</v>
      </c>
      <c r="O70" s="2" t="s">
        <v>608</v>
      </c>
      <c r="P70" s="6" t="s">
        <v>122</v>
      </c>
      <c r="Q70" s="2" t="s">
        <v>123</v>
      </c>
      <c r="R70" s="7"/>
      <c r="S70" s="2" t="str">
        <f aca="false">IF(COUNTA(U70:W70)&gt;0,"Yes","No")</f>
        <v>No</v>
      </c>
      <c r="T70" s="2" t="s">
        <v>609</v>
      </c>
      <c r="U70" s="2"/>
      <c r="V70" s="2"/>
      <c r="W70" s="2"/>
      <c r="X70" s="2" t="s">
        <v>610</v>
      </c>
      <c r="Y70" s="2" t="s">
        <v>611</v>
      </c>
      <c r="Z70" s="2" t="s">
        <v>612</v>
      </c>
      <c r="AA70" s="2"/>
      <c r="AB70" s="2"/>
      <c r="AC70" s="2"/>
      <c r="AD70" s="2"/>
      <c r="AE70" s="2"/>
      <c r="AF70" s="2" t="s">
        <v>45</v>
      </c>
      <c r="AG70" s="2" t="s">
        <v>45</v>
      </c>
      <c r="AH70" s="2" t="s">
        <v>45</v>
      </c>
      <c r="AI70" s="2" t="n">
        <f aca="false">COUNTIF('Needs review'!$A:$A,B70)</f>
        <v>2</v>
      </c>
    </row>
    <row r="71" customFormat="false" ht="15" hidden="false" customHeight="false" outlineLevel="0" collapsed="false">
      <c r="A71" s="2" t="s">
        <v>613</v>
      </c>
      <c r="B71" s="2" t="s">
        <v>614</v>
      </c>
      <c r="C71" s="2" t="s">
        <v>548</v>
      </c>
      <c r="D71" s="2" t="s">
        <v>549</v>
      </c>
      <c r="E71" s="2" t="s">
        <v>39</v>
      </c>
      <c r="F71" s="2" t="s">
        <v>40</v>
      </c>
      <c r="G71" s="2" t="s">
        <v>615</v>
      </c>
      <c r="H71" s="2"/>
      <c r="I71" s="3" t="n">
        <v>2</v>
      </c>
      <c r="J71" s="2" t="n">
        <v>2</v>
      </c>
      <c r="K71" s="4" t="n">
        <v>864</v>
      </c>
      <c r="L71" s="5" t="n">
        <v>24</v>
      </c>
      <c r="M71" s="5" t="n">
        <v>36</v>
      </c>
      <c r="N71" s="2" t="s">
        <v>65</v>
      </c>
      <c r="O71" s="2" t="s">
        <v>616</v>
      </c>
      <c r="P71" s="6" t="s">
        <v>45</v>
      </c>
      <c r="Q71" s="2"/>
      <c r="R71" s="7"/>
      <c r="S71" s="2" t="str">
        <f aca="false">IF(COUNTA(U71:W71)&gt;0,"Yes","No")</f>
        <v>Yes</v>
      </c>
      <c r="T71" s="2" t="s">
        <v>617</v>
      </c>
      <c r="U71" s="2"/>
      <c r="V71" s="2" t="s">
        <v>618</v>
      </c>
      <c r="W71" s="2"/>
      <c r="X71" s="2" t="s">
        <v>619</v>
      </c>
      <c r="Y71" s="2" t="s">
        <v>620</v>
      </c>
      <c r="Z71" s="2" t="s">
        <v>621</v>
      </c>
      <c r="AA71" s="2"/>
      <c r="AB71" s="2"/>
      <c r="AC71" s="2"/>
      <c r="AD71" s="2"/>
      <c r="AE71" s="2"/>
      <c r="AF71" s="2" t="s">
        <v>45</v>
      </c>
      <c r="AG71" s="2" t="s">
        <v>45</v>
      </c>
      <c r="AH71" s="2" t="s">
        <v>45</v>
      </c>
      <c r="AI71" s="2" t="n">
        <f aca="false">COUNTIF('Needs review'!$A:$A,B71)</f>
        <v>0</v>
      </c>
    </row>
    <row r="72" customFormat="false" ht="15" hidden="false" customHeight="false" outlineLevel="0" collapsed="false">
      <c r="A72" s="2" t="s">
        <v>622</v>
      </c>
      <c r="B72" s="2" t="s">
        <v>623</v>
      </c>
      <c r="C72" s="2" t="s">
        <v>548</v>
      </c>
      <c r="D72" s="2" t="s">
        <v>549</v>
      </c>
      <c r="E72" s="2" t="s">
        <v>39</v>
      </c>
      <c r="F72" s="2" t="s">
        <v>40</v>
      </c>
      <c r="G72" s="2" t="s">
        <v>624</v>
      </c>
      <c r="H72" s="2"/>
      <c r="I72" s="3" t="n">
        <v>3</v>
      </c>
      <c r="J72" s="2" t="n">
        <v>2</v>
      </c>
      <c r="K72" s="4" t="n">
        <v>900</v>
      </c>
      <c r="L72" s="5" t="n">
        <v>15</v>
      </c>
      <c r="M72" s="5" t="n">
        <v>60</v>
      </c>
      <c r="N72" s="2" t="s">
        <v>43</v>
      </c>
      <c r="O72" s="2" t="s">
        <v>625</v>
      </c>
      <c r="P72" s="6" t="s">
        <v>45</v>
      </c>
      <c r="Q72" s="2"/>
      <c r="R72" s="7"/>
      <c r="S72" s="2" t="str">
        <f aca="false">IF(COUNTA(U72:W72)&gt;0,"Yes","No")</f>
        <v>No</v>
      </c>
      <c r="T72" s="2" t="s">
        <v>626</v>
      </c>
      <c r="U72" s="2"/>
      <c r="V72" s="2"/>
      <c r="W72" s="2"/>
      <c r="X72" s="2" t="s">
        <v>627</v>
      </c>
      <c r="Y72" s="2" t="s">
        <v>628</v>
      </c>
      <c r="Z72" s="2" t="s">
        <v>629</v>
      </c>
      <c r="AA72" s="2"/>
      <c r="AB72" s="2"/>
      <c r="AC72" s="2"/>
      <c r="AD72" s="2"/>
      <c r="AE72" s="2"/>
      <c r="AF72" s="2" t="s">
        <v>45</v>
      </c>
      <c r="AG72" s="2" t="s">
        <v>45</v>
      </c>
      <c r="AH72" s="2" t="s">
        <v>45</v>
      </c>
      <c r="AI72" s="2" t="n">
        <f aca="false">COUNTIF('Needs review'!$A:$A,B72)</f>
        <v>0</v>
      </c>
    </row>
    <row r="73" customFormat="false" ht="15" hidden="false" customHeight="false" outlineLevel="0" collapsed="false">
      <c r="A73" s="2" t="s">
        <v>630</v>
      </c>
      <c r="B73" s="2" t="s">
        <v>631</v>
      </c>
      <c r="C73" s="2" t="s">
        <v>548</v>
      </c>
      <c r="D73" s="2" t="s">
        <v>549</v>
      </c>
      <c r="E73" s="2" t="s">
        <v>39</v>
      </c>
      <c r="F73" s="2" t="s">
        <v>40</v>
      </c>
      <c r="G73" s="2" t="s">
        <v>632</v>
      </c>
      <c r="H73" s="2"/>
      <c r="I73" s="3" t="n">
        <v>3</v>
      </c>
      <c r="J73" s="2" t="n">
        <v>2</v>
      </c>
      <c r="K73" s="4" t="n">
        <v>990</v>
      </c>
      <c r="L73" s="5" t="n">
        <v>15</v>
      </c>
      <c r="M73" s="5" t="n">
        <v>66</v>
      </c>
      <c r="N73" s="2" t="s">
        <v>43</v>
      </c>
      <c r="O73" s="2" t="s">
        <v>633</v>
      </c>
      <c r="P73" s="6" t="s">
        <v>45</v>
      </c>
      <c r="Q73" s="2"/>
      <c r="R73" s="7"/>
      <c r="S73" s="2" t="str">
        <f aca="false">IF(COUNTA(U73:W73)&gt;0,"Yes","No")</f>
        <v>No</v>
      </c>
      <c r="T73" s="2" t="s">
        <v>634</v>
      </c>
      <c r="U73" s="2"/>
      <c r="V73" s="2"/>
      <c r="W73" s="2"/>
      <c r="X73" s="2" t="s">
        <v>635</v>
      </c>
      <c r="Y73" s="2" t="s">
        <v>636</v>
      </c>
      <c r="Z73" s="2" t="s">
        <v>637</v>
      </c>
      <c r="AA73" s="2"/>
      <c r="AB73" s="2"/>
      <c r="AC73" s="2"/>
      <c r="AD73" s="2"/>
      <c r="AE73" s="2"/>
      <c r="AF73" s="2" t="s">
        <v>45</v>
      </c>
      <c r="AG73" s="2" t="s">
        <v>45</v>
      </c>
      <c r="AH73" s="2" t="s">
        <v>45</v>
      </c>
      <c r="AI73" s="2" t="n">
        <f aca="false">COUNTIF('Needs review'!$A:$A,B73)</f>
        <v>0</v>
      </c>
    </row>
    <row r="74" customFormat="false" ht="15" hidden="false" customHeight="false" outlineLevel="0" collapsed="false">
      <c r="A74" s="2" t="s">
        <v>638</v>
      </c>
      <c r="B74" s="2" t="s">
        <v>639</v>
      </c>
      <c r="C74" s="2" t="s">
        <v>548</v>
      </c>
      <c r="D74" s="2" t="s">
        <v>549</v>
      </c>
      <c r="E74" s="2" t="s">
        <v>39</v>
      </c>
      <c r="F74" s="2" t="s">
        <v>40</v>
      </c>
      <c r="G74" s="2" t="s">
        <v>640</v>
      </c>
      <c r="H74" s="2"/>
      <c r="I74" s="3" t="n">
        <v>3</v>
      </c>
      <c r="J74" s="2" t="n">
        <v>2</v>
      </c>
      <c r="K74" s="4" t="n">
        <v>1056</v>
      </c>
      <c r="L74" s="5" t="n">
        <v>24</v>
      </c>
      <c r="M74" s="5" t="n">
        <v>44</v>
      </c>
      <c r="N74" s="2" t="s">
        <v>65</v>
      </c>
      <c r="O74" s="2" t="s">
        <v>641</v>
      </c>
      <c r="P74" s="6" t="s">
        <v>45</v>
      </c>
      <c r="Q74" s="2"/>
      <c r="R74" s="7"/>
      <c r="S74" s="2" t="str">
        <f aca="false">IF(COUNTA(U74:W74)&gt;0,"Yes","No")</f>
        <v>No</v>
      </c>
      <c r="T74" s="2" t="s">
        <v>642</v>
      </c>
      <c r="U74" s="2"/>
      <c r="V74" s="2"/>
      <c r="W74" s="2"/>
      <c r="X74" s="2" t="s">
        <v>643</v>
      </c>
      <c r="Y74" s="2" t="s">
        <v>644</v>
      </c>
      <c r="Z74" s="2" t="s">
        <v>645</v>
      </c>
      <c r="AA74" s="2"/>
      <c r="AB74" s="2"/>
      <c r="AC74" s="2"/>
      <c r="AD74" s="2"/>
      <c r="AE74" s="2"/>
      <c r="AF74" s="2" t="s">
        <v>45</v>
      </c>
      <c r="AG74" s="2" t="s">
        <v>45</v>
      </c>
      <c r="AH74" s="2" t="s">
        <v>45</v>
      </c>
      <c r="AI74" s="2" t="n">
        <f aca="false">COUNTIF('Needs review'!$A:$A,B74)</f>
        <v>0</v>
      </c>
    </row>
    <row r="75" customFormat="false" ht="15" hidden="false" customHeight="false" outlineLevel="0" collapsed="false">
      <c r="A75" s="2" t="s">
        <v>646</v>
      </c>
      <c r="B75" s="2" t="s">
        <v>647</v>
      </c>
      <c r="C75" s="2" t="s">
        <v>548</v>
      </c>
      <c r="D75" s="2" t="s">
        <v>549</v>
      </c>
      <c r="E75" s="2" t="s">
        <v>39</v>
      </c>
      <c r="F75" s="2" t="s">
        <v>40</v>
      </c>
      <c r="G75" s="2" t="s">
        <v>648</v>
      </c>
      <c r="H75" s="2"/>
      <c r="I75" s="3" t="n">
        <v>3</v>
      </c>
      <c r="J75" s="2" t="n">
        <v>2</v>
      </c>
      <c r="K75" s="4" t="n">
        <v>1080</v>
      </c>
      <c r="L75" s="5" t="n">
        <v>15</v>
      </c>
      <c r="M75" s="5" t="n">
        <v>72</v>
      </c>
      <c r="N75" s="2" t="s">
        <v>43</v>
      </c>
      <c r="O75" s="2" t="s">
        <v>649</v>
      </c>
      <c r="P75" s="6" t="s">
        <v>45</v>
      </c>
      <c r="Q75" s="2"/>
      <c r="R75" s="7"/>
      <c r="S75" s="2" t="str">
        <f aca="false">IF(COUNTA(U75:W75)&gt;0,"Yes","No")</f>
        <v>No</v>
      </c>
      <c r="T75" s="2" t="s">
        <v>650</v>
      </c>
      <c r="U75" s="2"/>
      <c r="V75" s="2"/>
      <c r="W75" s="2"/>
      <c r="X75" s="2" t="s">
        <v>651</v>
      </c>
      <c r="Y75" s="2" t="s">
        <v>652</v>
      </c>
      <c r="Z75" s="2" t="s">
        <v>653</v>
      </c>
      <c r="AA75" s="2"/>
      <c r="AB75" s="2"/>
      <c r="AC75" s="2"/>
      <c r="AD75" s="2"/>
      <c r="AE75" s="2"/>
      <c r="AF75" s="2" t="s">
        <v>45</v>
      </c>
      <c r="AG75" s="2" t="s">
        <v>45</v>
      </c>
      <c r="AH75" s="2" t="s">
        <v>45</v>
      </c>
      <c r="AI75" s="2" t="n">
        <f aca="false">COUNTIF('Needs review'!$A:$A,B75)</f>
        <v>1</v>
      </c>
    </row>
    <row r="76" customFormat="false" ht="15" hidden="false" customHeight="false" outlineLevel="0" collapsed="false">
      <c r="A76" s="2" t="s">
        <v>654</v>
      </c>
      <c r="B76" s="2" t="s">
        <v>655</v>
      </c>
      <c r="C76" s="2" t="s">
        <v>548</v>
      </c>
      <c r="D76" s="2" t="s">
        <v>549</v>
      </c>
      <c r="E76" s="2" t="s">
        <v>39</v>
      </c>
      <c r="F76" s="2" t="s">
        <v>40</v>
      </c>
      <c r="G76" s="2" t="s">
        <v>656</v>
      </c>
      <c r="H76" s="2"/>
      <c r="I76" s="3" t="n">
        <v>3</v>
      </c>
      <c r="J76" s="2" t="n">
        <v>2</v>
      </c>
      <c r="K76" s="4" t="n">
        <v>1173</v>
      </c>
      <c r="L76" s="5" t="n">
        <v>26.67</v>
      </c>
      <c r="M76" s="5" t="n">
        <v>44</v>
      </c>
      <c r="N76" s="2" t="s">
        <v>65</v>
      </c>
      <c r="O76" s="2" t="s">
        <v>657</v>
      </c>
      <c r="P76" s="6" t="s">
        <v>45</v>
      </c>
      <c r="Q76" s="2"/>
      <c r="R76" s="7"/>
      <c r="S76" s="2" t="str">
        <f aca="false">IF(COUNTA(U76:W76)&gt;0,"Yes","No")</f>
        <v>No</v>
      </c>
      <c r="T76" s="2" t="s">
        <v>658</v>
      </c>
      <c r="U76" s="2"/>
      <c r="V76" s="2"/>
      <c r="W76" s="2"/>
      <c r="X76" s="2" t="s">
        <v>659</v>
      </c>
      <c r="Y76" s="2" t="s">
        <v>660</v>
      </c>
      <c r="Z76" s="2" t="s">
        <v>661</v>
      </c>
      <c r="AA76" s="2"/>
      <c r="AB76" s="2"/>
      <c r="AC76" s="2"/>
      <c r="AD76" s="2"/>
      <c r="AE76" s="2"/>
      <c r="AF76" s="2" t="s">
        <v>45</v>
      </c>
      <c r="AG76" s="2" t="s">
        <v>45</v>
      </c>
      <c r="AH76" s="2" t="s">
        <v>45</v>
      </c>
      <c r="AI76" s="2" t="n">
        <f aca="false">COUNTIF('Needs review'!$A:$A,B76)</f>
        <v>0</v>
      </c>
    </row>
    <row r="77" customFormat="false" ht="15" hidden="false" customHeight="false" outlineLevel="0" collapsed="false">
      <c r="A77" s="2" t="s">
        <v>662</v>
      </c>
      <c r="B77" s="2" t="s">
        <v>663</v>
      </c>
      <c r="C77" s="2" t="s">
        <v>548</v>
      </c>
      <c r="D77" s="2" t="s">
        <v>549</v>
      </c>
      <c r="E77" s="2" t="s">
        <v>39</v>
      </c>
      <c r="F77" s="2" t="s">
        <v>40</v>
      </c>
      <c r="G77" s="2" t="s">
        <v>664</v>
      </c>
      <c r="H77" s="2"/>
      <c r="I77" s="3" t="n">
        <v>3</v>
      </c>
      <c r="J77" s="2" t="n">
        <v>2</v>
      </c>
      <c r="K77" s="4" t="n">
        <v>1280</v>
      </c>
      <c r="L77" s="5" t="n">
        <v>26.67</v>
      </c>
      <c r="M77" s="5" t="n">
        <v>48</v>
      </c>
      <c r="N77" s="2" t="s">
        <v>65</v>
      </c>
      <c r="O77" s="2" t="s">
        <v>665</v>
      </c>
      <c r="P77" s="6" t="s">
        <v>45</v>
      </c>
      <c r="Q77" s="2"/>
      <c r="R77" s="7"/>
      <c r="S77" s="2" t="str">
        <f aca="false">IF(COUNTA(U77:W77)&gt;0,"Yes","No")</f>
        <v>Yes</v>
      </c>
      <c r="T77" s="2" t="s">
        <v>666</v>
      </c>
      <c r="U77" s="2"/>
      <c r="V77" s="2" t="s">
        <v>667</v>
      </c>
      <c r="W77" s="2"/>
      <c r="X77" s="2" t="s">
        <v>668</v>
      </c>
      <c r="Y77" s="2" t="s">
        <v>669</v>
      </c>
      <c r="Z77" s="2" t="s">
        <v>670</v>
      </c>
      <c r="AA77" s="2"/>
      <c r="AB77" s="2"/>
      <c r="AC77" s="2"/>
      <c r="AD77" s="2"/>
      <c r="AE77" s="2"/>
      <c r="AF77" s="2" t="s">
        <v>45</v>
      </c>
      <c r="AG77" s="2" t="s">
        <v>45</v>
      </c>
      <c r="AH77" s="2" t="s">
        <v>45</v>
      </c>
      <c r="AI77" s="2" t="n">
        <f aca="false">COUNTIF('Needs review'!$A:$A,B77)</f>
        <v>0</v>
      </c>
    </row>
    <row r="78" customFormat="false" ht="15" hidden="false" customHeight="false" outlineLevel="0" collapsed="false">
      <c r="A78" s="2" t="s">
        <v>671</v>
      </c>
      <c r="B78" s="2" t="s">
        <v>672</v>
      </c>
      <c r="C78" s="2" t="s">
        <v>548</v>
      </c>
      <c r="D78" s="2" t="s">
        <v>549</v>
      </c>
      <c r="E78" s="2" t="s">
        <v>39</v>
      </c>
      <c r="F78" s="2" t="s">
        <v>40</v>
      </c>
      <c r="G78" s="2" t="s">
        <v>673</v>
      </c>
      <c r="H78" s="2"/>
      <c r="I78" s="3" t="n">
        <v>3</v>
      </c>
      <c r="J78" s="2" t="n">
        <v>2</v>
      </c>
      <c r="K78" s="4" t="n">
        <v>1280</v>
      </c>
      <c r="L78" s="5" t="n">
        <v>26.67</v>
      </c>
      <c r="M78" s="5" t="n">
        <v>48</v>
      </c>
      <c r="N78" s="2" t="s">
        <v>65</v>
      </c>
      <c r="O78" s="2" t="s">
        <v>665</v>
      </c>
      <c r="P78" s="6" t="s">
        <v>45</v>
      </c>
      <c r="Q78" s="2"/>
      <c r="R78" s="7"/>
      <c r="S78" s="2" t="str">
        <f aca="false">IF(COUNTA(U78:W78)&gt;0,"Yes","No")</f>
        <v>No</v>
      </c>
      <c r="T78" s="2" t="s">
        <v>674</v>
      </c>
      <c r="U78" s="2"/>
      <c r="V78" s="2"/>
      <c r="W78" s="2"/>
      <c r="X78" s="2" t="s">
        <v>675</v>
      </c>
      <c r="Y78" s="2" t="s">
        <v>676</v>
      </c>
      <c r="Z78" s="2" t="s">
        <v>677</v>
      </c>
      <c r="AA78" s="2"/>
      <c r="AB78" s="2"/>
      <c r="AC78" s="2"/>
      <c r="AD78" s="2"/>
      <c r="AE78" s="2"/>
      <c r="AF78" s="2" t="s">
        <v>45</v>
      </c>
      <c r="AG78" s="2" t="s">
        <v>45</v>
      </c>
      <c r="AH78" s="2" t="s">
        <v>45</v>
      </c>
      <c r="AI78" s="2" t="n">
        <f aca="false">COUNTIF('Needs review'!$A:$A,B78)</f>
        <v>0</v>
      </c>
    </row>
    <row r="79" customFormat="false" ht="15" hidden="false" customHeight="false" outlineLevel="0" collapsed="false">
      <c r="A79" s="2" t="s">
        <v>678</v>
      </c>
      <c r="B79" s="2" t="s">
        <v>679</v>
      </c>
      <c r="C79" s="2" t="s">
        <v>548</v>
      </c>
      <c r="D79" s="2" t="s">
        <v>549</v>
      </c>
      <c r="E79" s="2" t="s">
        <v>39</v>
      </c>
      <c r="F79" s="2" t="s">
        <v>40</v>
      </c>
      <c r="G79" s="2" t="s">
        <v>680</v>
      </c>
      <c r="H79" s="2"/>
      <c r="I79" s="3" t="n">
        <v>3</v>
      </c>
      <c r="J79" s="2" t="n">
        <v>2</v>
      </c>
      <c r="K79" s="4" t="n">
        <v>1280</v>
      </c>
      <c r="L79" s="5" t="n">
        <v>26.67</v>
      </c>
      <c r="M79" s="5" t="n">
        <v>48</v>
      </c>
      <c r="N79" s="2" t="s">
        <v>65</v>
      </c>
      <c r="O79" s="2" t="s">
        <v>665</v>
      </c>
      <c r="P79" s="6" t="s">
        <v>45</v>
      </c>
      <c r="Q79" s="2"/>
      <c r="R79" s="7"/>
      <c r="S79" s="2" t="str">
        <f aca="false">IF(COUNTA(U79:W79)&gt;0,"Yes","No")</f>
        <v>No</v>
      </c>
      <c r="T79" s="2" t="s">
        <v>681</v>
      </c>
      <c r="U79" s="2"/>
      <c r="V79" s="2"/>
      <c r="W79" s="2"/>
      <c r="X79" s="2" t="s">
        <v>682</v>
      </c>
      <c r="Y79" s="2" t="s">
        <v>683</v>
      </c>
      <c r="Z79" s="2" t="s">
        <v>684</v>
      </c>
      <c r="AA79" s="2"/>
      <c r="AB79" s="2"/>
      <c r="AC79" s="2"/>
      <c r="AD79" s="2"/>
      <c r="AE79" s="2"/>
      <c r="AF79" s="2" t="s">
        <v>45</v>
      </c>
      <c r="AG79" s="2" t="s">
        <v>45</v>
      </c>
      <c r="AH79" s="2" t="s">
        <v>45</v>
      </c>
      <c r="AI79" s="2" t="n">
        <f aca="false">COUNTIF('Needs review'!$A:$A,B79)</f>
        <v>0</v>
      </c>
    </row>
    <row r="80" customFormat="false" ht="15" hidden="false" customHeight="false" outlineLevel="0" collapsed="false">
      <c r="A80" s="2" t="s">
        <v>685</v>
      </c>
      <c r="B80" s="2" t="s">
        <v>686</v>
      </c>
      <c r="C80" s="2" t="s">
        <v>548</v>
      </c>
      <c r="D80" s="2" t="s">
        <v>549</v>
      </c>
      <c r="E80" s="2" t="s">
        <v>39</v>
      </c>
      <c r="F80" s="2" t="s">
        <v>40</v>
      </c>
      <c r="G80" s="2" t="s">
        <v>687</v>
      </c>
      <c r="H80" s="2"/>
      <c r="I80" s="3" t="n">
        <v>3</v>
      </c>
      <c r="J80" s="2" t="n">
        <v>2</v>
      </c>
      <c r="K80" s="4" t="n">
        <v>1280</v>
      </c>
      <c r="L80" s="5" t="n">
        <v>26.67</v>
      </c>
      <c r="M80" s="5" t="n">
        <v>48</v>
      </c>
      <c r="N80" s="2" t="s">
        <v>65</v>
      </c>
      <c r="O80" s="2" t="s">
        <v>665</v>
      </c>
      <c r="P80" s="6" t="s">
        <v>45</v>
      </c>
      <c r="Q80" s="2"/>
      <c r="R80" s="7"/>
      <c r="S80" s="2" t="str">
        <f aca="false">IF(COUNTA(U80:W80)&gt;0,"Yes","No")</f>
        <v>No</v>
      </c>
      <c r="T80" s="2" t="s">
        <v>688</v>
      </c>
      <c r="U80" s="2"/>
      <c r="V80" s="2"/>
      <c r="W80" s="2"/>
      <c r="X80" s="2" t="s">
        <v>689</v>
      </c>
      <c r="Y80" s="2" t="s">
        <v>690</v>
      </c>
      <c r="Z80" s="2" t="s">
        <v>691</v>
      </c>
      <c r="AA80" s="2"/>
      <c r="AB80" s="2"/>
      <c r="AC80" s="2"/>
      <c r="AD80" s="2"/>
      <c r="AE80" s="2"/>
      <c r="AF80" s="2" t="s">
        <v>45</v>
      </c>
      <c r="AG80" s="2" t="s">
        <v>45</v>
      </c>
      <c r="AH80" s="2" t="s">
        <v>45</v>
      </c>
      <c r="AI80" s="2" t="n">
        <f aca="false">COUNTIF('Needs review'!$A:$A,B80)</f>
        <v>0</v>
      </c>
    </row>
    <row r="81" customFormat="false" ht="15" hidden="false" customHeight="false" outlineLevel="0" collapsed="false">
      <c r="A81" s="2" t="s">
        <v>692</v>
      </c>
      <c r="B81" s="2" t="s">
        <v>693</v>
      </c>
      <c r="C81" s="2" t="s">
        <v>548</v>
      </c>
      <c r="D81" s="2" t="s">
        <v>549</v>
      </c>
      <c r="E81" s="2" t="s">
        <v>39</v>
      </c>
      <c r="F81" s="2" t="s">
        <v>40</v>
      </c>
      <c r="G81" s="2" t="s">
        <v>694</v>
      </c>
      <c r="H81" s="2"/>
      <c r="I81" s="3" t="n">
        <v>3</v>
      </c>
      <c r="J81" s="2" t="n">
        <v>2</v>
      </c>
      <c r="K81" s="4" t="n">
        <v>1344</v>
      </c>
      <c r="L81" s="5" t="n">
        <v>24</v>
      </c>
      <c r="M81" s="5" t="n">
        <v>56</v>
      </c>
      <c r="N81" s="2" t="s">
        <v>65</v>
      </c>
      <c r="O81" s="2" t="s">
        <v>695</v>
      </c>
      <c r="P81" s="6" t="s">
        <v>45</v>
      </c>
      <c r="Q81" s="2"/>
      <c r="R81" s="7"/>
      <c r="S81" s="2" t="str">
        <f aca="false">IF(COUNTA(U81:W81)&gt;0,"Yes","No")</f>
        <v>No</v>
      </c>
      <c r="T81" s="2" t="s">
        <v>696</v>
      </c>
      <c r="U81" s="2"/>
      <c r="V81" s="2"/>
      <c r="W81" s="2"/>
      <c r="X81" s="2" t="s">
        <v>697</v>
      </c>
      <c r="Y81" s="2" t="s">
        <v>698</v>
      </c>
      <c r="Z81" s="2" t="s">
        <v>699</v>
      </c>
      <c r="AA81" s="2"/>
      <c r="AB81" s="2"/>
      <c r="AC81" s="2"/>
      <c r="AD81" s="2"/>
      <c r="AE81" s="2"/>
      <c r="AF81" s="2" t="s">
        <v>45</v>
      </c>
      <c r="AG81" s="2" t="s">
        <v>45</v>
      </c>
      <c r="AH81" s="2" t="s">
        <v>45</v>
      </c>
      <c r="AI81" s="2" t="n">
        <f aca="false">COUNTIF('Needs review'!$A:$A,B81)</f>
        <v>0</v>
      </c>
    </row>
    <row r="82" customFormat="false" ht="15" hidden="false" customHeight="false" outlineLevel="0" collapsed="false">
      <c r="A82" s="2" t="s">
        <v>700</v>
      </c>
      <c r="B82" s="2" t="s">
        <v>701</v>
      </c>
      <c r="C82" s="2" t="s">
        <v>548</v>
      </c>
      <c r="D82" s="2" t="s">
        <v>549</v>
      </c>
      <c r="E82" s="2" t="s">
        <v>39</v>
      </c>
      <c r="F82" s="2" t="s">
        <v>40</v>
      </c>
      <c r="G82" s="2" t="s">
        <v>702</v>
      </c>
      <c r="H82" s="2"/>
      <c r="I82" s="3" t="n">
        <v>3</v>
      </c>
      <c r="J82" s="2" t="n">
        <v>2</v>
      </c>
      <c r="K82" s="4" t="n">
        <v>1493</v>
      </c>
      <c r="L82" s="5" t="n">
        <v>26.67</v>
      </c>
      <c r="M82" s="5" t="n">
        <v>56</v>
      </c>
      <c r="N82" s="2" t="s">
        <v>65</v>
      </c>
      <c r="O82" s="2" t="s">
        <v>703</v>
      </c>
      <c r="P82" s="6" t="s">
        <v>45</v>
      </c>
      <c r="Q82" s="2"/>
      <c r="R82" s="7"/>
      <c r="S82" s="2" t="str">
        <f aca="false">IF(COUNTA(U82:W82)&gt;0,"Yes","No")</f>
        <v>No</v>
      </c>
      <c r="T82" s="2" t="s">
        <v>704</v>
      </c>
      <c r="U82" s="2"/>
      <c r="V82" s="2"/>
      <c r="W82" s="2"/>
      <c r="X82" s="2" t="s">
        <v>705</v>
      </c>
      <c r="Y82" s="2" t="s">
        <v>706</v>
      </c>
      <c r="Z82" s="2" t="s">
        <v>707</v>
      </c>
      <c r="AA82" s="2"/>
      <c r="AB82" s="2"/>
      <c r="AC82" s="2"/>
      <c r="AD82" s="2"/>
      <c r="AE82" s="2"/>
      <c r="AF82" s="2" t="s">
        <v>45</v>
      </c>
      <c r="AG82" s="2" t="s">
        <v>45</v>
      </c>
      <c r="AH82" s="2" t="s">
        <v>45</v>
      </c>
      <c r="AI82" s="2" t="n">
        <f aca="false">COUNTIF('Needs review'!$A:$A,B82)</f>
        <v>0</v>
      </c>
    </row>
    <row r="83" customFormat="false" ht="15" hidden="false" customHeight="false" outlineLevel="0" collapsed="false">
      <c r="A83" s="2" t="s">
        <v>708</v>
      </c>
      <c r="B83" s="2" t="s">
        <v>709</v>
      </c>
      <c r="C83" s="2" t="s">
        <v>548</v>
      </c>
      <c r="D83" s="2" t="s">
        <v>549</v>
      </c>
      <c r="E83" s="2" t="s">
        <v>39</v>
      </c>
      <c r="F83" s="2" t="s">
        <v>40</v>
      </c>
      <c r="G83" s="2" t="s">
        <v>710</v>
      </c>
      <c r="H83" s="2"/>
      <c r="I83" s="3" t="n">
        <v>3</v>
      </c>
      <c r="J83" s="2" t="n">
        <v>2</v>
      </c>
      <c r="K83" s="4" t="n">
        <v>1493</v>
      </c>
      <c r="L83" s="5" t="n">
        <v>26.67</v>
      </c>
      <c r="M83" s="5" t="n">
        <v>56</v>
      </c>
      <c r="N83" s="2" t="s">
        <v>65</v>
      </c>
      <c r="O83" s="2" t="s">
        <v>703</v>
      </c>
      <c r="P83" s="6" t="s">
        <v>45</v>
      </c>
      <c r="Q83" s="2"/>
      <c r="R83" s="7"/>
      <c r="S83" s="2" t="str">
        <f aca="false">IF(COUNTA(U83:W83)&gt;0,"Yes","No")</f>
        <v>Yes</v>
      </c>
      <c r="T83" s="2" t="s">
        <v>711</v>
      </c>
      <c r="U83" s="2"/>
      <c r="V83" s="2" t="s">
        <v>712</v>
      </c>
      <c r="W83" s="2"/>
      <c r="X83" s="2" t="s">
        <v>713</v>
      </c>
      <c r="Y83" s="2" t="s">
        <v>714</v>
      </c>
      <c r="Z83" s="2" t="s">
        <v>715</v>
      </c>
      <c r="AA83" s="2"/>
      <c r="AB83" s="2"/>
      <c r="AC83" s="2"/>
      <c r="AD83" s="2"/>
      <c r="AE83" s="2"/>
      <c r="AF83" s="2" t="s">
        <v>45</v>
      </c>
      <c r="AG83" s="2" t="s">
        <v>45</v>
      </c>
      <c r="AH83" s="2" t="s">
        <v>45</v>
      </c>
      <c r="AI83" s="2" t="n">
        <f aca="false">COUNTIF('Needs review'!$A:$A,B83)</f>
        <v>0</v>
      </c>
    </row>
    <row r="84" customFormat="false" ht="15" hidden="false" customHeight="false" outlineLevel="0" collapsed="false">
      <c r="A84" s="2" t="s">
        <v>716</v>
      </c>
      <c r="B84" s="2" t="s">
        <v>717</v>
      </c>
      <c r="C84" s="2" t="s">
        <v>548</v>
      </c>
      <c r="D84" s="2" t="s">
        <v>549</v>
      </c>
      <c r="E84" s="2" t="s">
        <v>39</v>
      </c>
      <c r="F84" s="2" t="s">
        <v>40</v>
      </c>
      <c r="G84" s="2" t="s">
        <v>718</v>
      </c>
      <c r="H84" s="2"/>
      <c r="I84" s="3" t="n">
        <v>3</v>
      </c>
      <c r="J84" s="2" t="n">
        <v>2</v>
      </c>
      <c r="K84" s="4" t="n">
        <v>1493</v>
      </c>
      <c r="L84" s="5" t="n">
        <v>26.67</v>
      </c>
      <c r="M84" s="5" t="n">
        <v>56</v>
      </c>
      <c r="N84" s="2" t="s">
        <v>65</v>
      </c>
      <c r="O84" s="2" t="s">
        <v>703</v>
      </c>
      <c r="P84" s="6" t="s">
        <v>45</v>
      </c>
      <c r="Q84" s="2"/>
      <c r="R84" s="7"/>
      <c r="S84" s="2" t="str">
        <f aca="false">IF(COUNTA(U84:W84)&gt;0,"Yes","No")</f>
        <v>Yes</v>
      </c>
      <c r="T84" s="2" t="s">
        <v>719</v>
      </c>
      <c r="U84" s="2"/>
      <c r="V84" s="2" t="s">
        <v>720</v>
      </c>
      <c r="W84" s="2"/>
      <c r="X84" s="2" t="s">
        <v>721</v>
      </c>
      <c r="Y84" s="2" t="s">
        <v>722</v>
      </c>
      <c r="Z84" s="2" t="s">
        <v>723</v>
      </c>
      <c r="AA84" s="2"/>
      <c r="AB84" s="2"/>
      <c r="AC84" s="2"/>
      <c r="AD84" s="2"/>
      <c r="AE84" s="2"/>
      <c r="AF84" s="2" t="s">
        <v>45</v>
      </c>
      <c r="AG84" s="2" t="s">
        <v>45</v>
      </c>
      <c r="AH84" s="2" t="s">
        <v>45</v>
      </c>
      <c r="AI84" s="2" t="n">
        <f aca="false">COUNTIF('Needs review'!$A:$A,B84)</f>
        <v>0</v>
      </c>
    </row>
    <row r="85" customFormat="false" ht="15" hidden="false" customHeight="false" outlineLevel="0" collapsed="false">
      <c r="A85" s="2" t="s">
        <v>724</v>
      </c>
      <c r="B85" s="2" t="s">
        <v>725</v>
      </c>
      <c r="C85" s="2" t="s">
        <v>548</v>
      </c>
      <c r="D85" s="2" t="s">
        <v>549</v>
      </c>
      <c r="E85" s="2" t="s">
        <v>39</v>
      </c>
      <c r="F85" s="2" t="s">
        <v>40</v>
      </c>
      <c r="G85" s="2" t="s">
        <v>726</v>
      </c>
      <c r="H85" s="2"/>
      <c r="I85" s="3" t="n">
        <v>3</v>
      </c>
      <c r="J85" s="2" t="n">
        <v>2</v>
      </c>
      <c r="K85" s="4" t="n">
        <v>1493</v>
      </c>
      <c r="L85" s="5" t="n">
        <v>26.67</v>
      </c>
      <c r="M85" s="5" t="n">
        <v>56</v>
      </c>
      <c r="N85" s="2" t="s">
        <v>65</v>
      </c>
      <c r="O85" s="2" t="s">
        <v>703</v>
      </c>
      <c r="P85" s="6" t="s">
        <v>45</v>
      </c>
      <c r="Q85" s="2"/>
      <c r="R85" s="7"/>
      <c r="S85" s="2" t="str">
        <f aca="false">IF(COUNTA(U85:W85)&gt;0,"Yes","No")</f>
        <v>No</v>
      </c>
      <c r="T85" s="2" t="s">
        <v>727</v>
      </c>
      <c r="U85" s="2"/>
      <c r="V85" s="2"/>
      <c r="W85" s="2"/>
      <c r="X85" s="2" t="s">
        <v>728</v>
      </c>
      <c r="Y85" s="2" t="s">
        <v>729</v>
      </c>
      <c r="Z85" s="2" t="s">
        <v>730</v>
      </c>
      <c r="AA85" s="2"/>
      <c r="AB85" s="2"/>
      <c r="AC85" s="2"/>
      <c r="AD85" s="2"/>
      <c r="AE85" s="2"/>
      <c r="AF85" s="2" t="s">
        <v>45</v>
      </c>
      <c r="AG85" s="2" t="s">
        <v>45</v>
      </c>
      <c r="AH85" s="2" t="s">
        <v>45</v>
      </c>
      <c r="AI85" s="2" t="n">
        <f aca="false">COUNTIF('Needs review'!$A:$A,B85)</f>
        <v>0</v>
      </c>
    </row>
    <row r="86" customFormat="false" ht="15" hidden="false" customHeight="false" outlineLevel="0" collapsed="false">
      <c r="A86" s="2" t="s">
        <v>731</v>
      </c>
      <c r="B86" s="2" t="s">
        <v>732</v>
      </c>
      <c r="C86" s="2" t="s">
        <v>548</v>
      </c>
      <c r="D86" s="2" t="s">
        <v>549</v>
      </c>
      <c r="E86" s="2" t="s">
        <v>39</v>
      </c>
      <c r="F86" s="2" t="s">
        <v>40</v>
      </c>
      <c r="G86" s="2" t="s">
        <v>733</v>
      </c>
      <c r="H86" s="2"/>
      <c r="I86" s="3" t="n">
        <v>3</v>
      </c>
      <c r="J86" s="2" t="n">
        <v>2</v>
      </c>
      <c r="K86" s="4" t="n">
        <v>1493</v>
      </c>
      <c r="L86" s="5" t="n">
        <v>26.67</v>
      </c>
      <c r="M86" s="5" t="n">
        <v>56</v>
      </c>
      <c r="N86" s="2" t="s">
        <v>65</v>
      </c>
      <c r="O86" s="2" t="s">
        <v>703</v>
      </c>
      <c r="P86" s="6" t="s">
        <v>45</v>
      </c>
      <c r="Q86" s="2"/>
      <c r="R86" s="7"/>
      <c r="S86" s="2" t="str">
        <f aca="false">IF(COUNTA(U86:W86)&gt;0,"Yes","No")</f>
        <v>No</v>
      </c>
      <c r="T86" s="2" t="s">
        <v>734</v>
      </c>
      <c r="U86" s="2"/>
      <c r="V86" s="2"/>
      <c r="W86" s="2"/>
      <c r="X86" s="2" t="s">
        <v>735</v>
      </c>
      <c r="Y86" s="2" t="s">
        <v>736</v>
      </c>
      <c r="Z86" s="2" t="s">
        <v>737</v>
      </c>
      <c r="AA86" s="2"/>
      <c r="AB86" s="2"/>
      <c r="AC86" s="2"/>
      <c r="AD86" s="2"/>
      <c r="AE86" s="2"/>
      <c r="AF86" s="2" t="s">
        <v>45</v>
      </c>
      <c r="AG86" s="2" t="s">
        <v>45</v>
      </c>
      <c r="AH86" s="2" t="s">
        <v>45</v>
      </c>
      <c r="AI86" s="2" t="n">
        <f aca="false">COUNTIF('Needs review'!$A:$A,B86)</f>
        <v>0</v>
      </c>
    </row>
    <row r="87" customFormat="false" ht="15" hidden="false" customHeight="false" outlineLevel="0" collapsed="false">
      <c r="A87" s="2" t="s">
        <v>738</v>
      </c>
      <c r="B87" s="2" t="s">
        <v>739</v>
      </c>
      <c r="C87" s="2" t="s">
        <v>548</v>
      </c>
      <c r="D87" s="2" t="s">
        <v>549</v>
      </c>
      <c r="E87" s="2" t="s">
        <v>39</v>
      </c>
      <c r="F87" s="2" t="s">
        <v>40</v>
      </c>
      <c r="G87" s="2" t="s">
        <v>740</v>
      </c>
      <c r="H87" s="2"/>
      <c r="I87" s="3" t="n">
        <v>3</v>
      </c>
      <c r="J87" s="2" t="n">
        <v>2</v>
      </c>
      <c r="K87" s="4" t="n">
        <v>1600</v>
      </c>
      <c r="L87" s="5" t="n">
        <v>26.67</v>
      </c>
      <c r="M87" s="5" t="n">
        <v>60</v>
      </c>
      <c r="N87" s="2" t="s">
        <v>65</v>
      </c>
      <c r="O87" s="2" t="s">
        <v>741</v>
      </c>
      <c r="P87" s="6" t="s">
        <v>45</v>
      </c>
      <c r="Q87" s="2"/>
      <c r="R87" s="7"/>
      <c r="S87" s="2" t="str">
        <f aca="false">IF(COUNTA(U87:W87)&gt;0,"Yes","No")</f>
        <v>No</v>
      </c>
      <c r="T87" s="2" t="s">
        <v>742</v>
      </c>
      <c r="U87" s="2"/>
      <c r="V87" s="2"/>
      <c r="W87" s="2"/>
      <c r="X87" s="2" t="s">
        <v>743</v>
      </c>
      <c r="Y87" s="2" t="s">
        <v>744</v>
      </c>
      <c r="Z87" s="2" t="s">
        <v>745</v>
      </c>
      <c r="AA87" s="2"/>
      <c r="AB87" s="2"/>
      <c r="AC87" s="2"/>
      <c r="AD87" s="2"/>
      <c r="AE87" s="2"/>
      <c r="AF87" s="2" t="s">
        <v>45</v>
      </c>
      <c r="AG87" s="2" t="s">
        <v>45</v>
      </c>
      <c r="AH87" s="2" t="s">
        <v>45</v>
      </c>
      <c r="AI87" s="2" t="n">
        <f aca="false">COUNTIF('Needs review'!$A:$A,B87)</f>
        <v>0</v>
      </c>
    </row>
    <row r="88" customFormat="false" ht="15" hidden="false" customHeight="false" outlineLevel="0" collapsed="false">
      <c r="A88" s="2" t="s">
        <v>746</v>
      </c>
      <c r="B88" s="2" t="s">
        <v>747</v>
      </c>
      <c r="C88" s="2" t="s">
        <v>548</v>
      </c>
      <c r="D88" s="2" t="s">
        <v>549</v>
      </c>
      <c r="E88" s="2" t="s">
        <v>39</v>
      </c>
      <c r="F88" s="2" t="s">
        <v>40</v>
      </c>
      <c r="G88" s="2" t="s">
        <v>748</v>
      </c>
      <c r="H88" s="2"/>
      <c r="I88" s="3" t="n">
        <v>3</v>
      </c>
      <c r="J88" s="2" t="n">
        <v>2</v>
      </c>
      <c r="K88" s="4" t="n">
        <v>1600</v>
      </c>
      <c r="L88" s="5" t="n">
        <v>26.67</v>
      </c>
      <c r="M88" s="5" t="n">
        <v>60</v>
      </c>
      <c r="N88" s="2" t="s">
        <v>65</v>
      </c>
      <c r="O88" s="2" t="s">
        <v>741</v>
      </c>
      <c r="P88" s="6" t="s">
        <v>45</v>
      </c>
      <c r="Q88" s="2"/>
      <c r="R88" s="7"/>
      <c r="S88" s="2" t="str">
        <f aca="false">IF(COUNTA(U88:W88)&gt;0,"Yes","No")</f>
        <v>No</v>
      </c>
      <c r="T88" s="2" t="s">
        <v>749</v>
      </c>
      <c r="U88" s="2"/>
      <c r="V88" s="2"/>
      <c r="W88" s="2"/>
      <c r="X88" s="2" t="s">
        <v>750</v>
      </c>
      <c r="Y88" s="2" t="s">
        <v>751</v>
      </c>
      <c r="Z88" s="2" t="s">
        <v>752</v>
      </c>
      <c r="AA88" s="2"/>
      <c r="AB88" s="2"/>
      <c r="AC88" s="2"/>
      <c r="AD88" s="2"/>
      <c r="AE88" s="2"/>
      <c r="AF88" s="2" t="s">
        <v>45</v>
      </c>
      <c r="AG88" s="2" t="s">
        <v>45</v>
      </c>
      <c r="AH88" s="2" t="s">
        <v>45</v>
      </c>
      <c r="AI88" s="2" t="n">
        <f aca="false">COUNTIF('Needs review'!$A:$A,B88)</f>
        <v>0</v>
      </c>
    </row>
    <row r="89" customFormat="false" ht="15" hidden="false" customHeight="false" outlineLevel="0" collapsed="false">
      <c r="A89" s="2" t="s">
        <v>753</v>
      </c>
      <c r="B89" s="2" t="s">
        <v>754</v>
      </c>
      <c r="C89" s="2" t="s">
        <v>548</v>
      </c>
      <c r="D89" s="2" t="s">
        <v>549</v>
      </c>
      <c r="E89" s="2" t="s">
        <v>39</v>
      </c>
      <c r="F89" s="2" t="s">
        <v>40</v>
      </c>
      <c r="G89" s="2" t="s">
        <v>755</v>
      </c>
      <c r="H89" s="2"/>
      <c r="I89" s="3" t="n">
        <v>4</v>
      </c>
      <c r="J89" s="2" t="n">
        <v>2</v>
      </c>
      <c r="K89" s="4" t="n">
        <v>1814</v>
      </c>
      <c r="L89" s="5" t="n">
        <v>26.67</v>
      </c>
      <c r="M89" s="5" t="n">
        <v>68</v>
      </c>
      <c r="N89" s="2" t="s">
        <v>65</v>
      </c>
      <c r="O89" s="2" t="s">
        <v>756</v>
      </c>
      <c r="P89" s="6" t="s">
        <v>45</v>
      </c>
      <c r="Q89" s="2"/>
      <c r="R89" s="7"/>
      <c r="S89" s="2" t="str">
        <f aca="false">IF(COUNTA(U89:W89)&gt;0,"Yes","No")</f>
        <v>No</v>
      </c>
      <c r="T89" s="2" t="s">
        <v>757</v>
      </c>
      <c r="U89" s="2"/>
      <c r="V89" s="2"/>
      <c r="W89" s="2"/>
      <c r="X89" s="2" t="s">
        <v>743</v>
      </c>
      <c r="Y89" s="2" t="s">
        <v>744</v>
      </c>
      <c r="Z89" s="2" t="s">
        <v>758</v>
      </c>
      <c r="AA89" s="2"/>
      <c r="AB89" s="2"/>
      <c r="AC89" s="2"/>
      <c r="AD89" s="2"/>
      <c r="AE89" s="2"/>
      <c r="AF89" s="2" t="s">
        <v>45</v>
      </c>
      <c r="AG89" s="2" t="s">
        <v>45</v>
      </c>
      <c r="AH89" s="2" t="s">
        <v>45</v>
      </c>
      <c r="AI89" s="2" t="n">
        <f aca="false">COUNTIF('Needs review'!$A:$A,B89)</f>
        <v>0</v>
      </c>
    </row>
    <row r="90" customFormat="false" ht="15" hidden="false" customHeight="false" outlineLevel="0" collapsed="false">
      <c r="A90" s="2" t="s">
        <v>759</v>
      </c>
      <c r="B90" s="2" t="s">
        <v>760</v>
      </c>
      <c r="C90" s="2" t="s">
        <v>548</v>
      </c>
      <c r="D90" s="2" t="s">
        <v>549</v>
      </c>
      <c r="E90" s="2" t="s">
        <v>39</v>
      </c>
      <c r="F90" s="2" t="s">
        <v>40</v>
      </c>
      <c r="G90" s="2" t="s">
        <v>761</v>
      </c>
      <c r="H90" s="2"/>
      <c r="I90" s="3" t="n">
        <v>4</v>
      </c>
      <c r="J90" s="2" t="n">
        <v>2</v>
      </c>
      <c r="K90" s="4" t="n">
        <v>1920</v>
      </c>
      <c r="L90" s="5" t="n">
        <v>26.67</v>
      </c>
      <c r="M90" s="5" t="n">
        <v>72</v>
      </c>
      <c r="N90" s="2" t="s">
        <v>65</v>
      </c>
      <c r="O90" s="2" t="s">
        <v>741</v>
      </c>
      <c r="P90" s="6" t="s">
        <v>45</v>
      </c>
      <c r="Q90" s="2"/>
      <c r="R90" s="7"/>
      <c r="S90" s="2" t="str">
        <f aca="false">IF(COUNTA(U90:W90)&gt;0,"Yes","No")</f>
        <v>No</v>
      </c>
      <c r="T90" s="2" t="s">
        <v>762</v>
      </c>
      <c r="U90" s="2"/>
      <c r="V90" s="2"/>
      <c r="W90" s="2"/>
      <c r="X90" s="2" t="s">
        <v>763</v>
      </c>
      <c r="Y90" s="2" t="s">
        <v>764</v>
      </c>
      <c r="Z90" s="2" t="s">
        <v>765</v>
      </c>
      <c r="AA90" s="2"/>
      <c r="AB90" s="2"/>
      <c r="AC90" s="2"/>
      <c r="AD90" s="2"/>
      <c r="AE90" s="2"/>
      <c r="AF90" s="2" t="s">
        <v>45</v>
      </c>
      <c r="AG90" s="2" t="s">
        <v>45</v>
      </c>
      <c r="AH90" s="2" t="s">
        <v>45</v>
      </c>
      <c r="AI90" s="2" t="n">
        <f aca="false">COUNTIF('Needs review'!$A:$A,B90)</f>
        <v>1</v>
      </c>
    </row>
    <row r="91" customFormat="false" ht="15" hidden="false" customHeight="false" outlineLevel="0" collapsed="false">
      <c r="A91" s="2" t="s">
        <v>766</v>
      </c>
      <c r="B91" s="2" t="s">
        <v>767</v>
      </c>
      <c r="C91" s="2" t="s">
        <v>548</v>
      </c>
      <c r="D91" s="2" t="s">
        <v>549</v>
      </c>
      <c r="E91" s="2" t="s">
        <v>39</v>
      </c>
      <c r="F91" s="2" t="s">
        <v>40</v>
      </c>
      <c r="G91" s="2" t="s">
        <v>768</v>
      </c>
      <c r="H91" s="2"/>
      <c r="I91" s="3" t="n">
        <v>4</v>
      </c>
      <c r="J91" s="2" t="n">
        <v>2</v>
      </c>
      <c r="K91" s="4" t="n">
        <v>2100</v>
      </c>
      <c r="L91" s="5" t="n">
        <v>30</v>
      </c>
      <c r="M91" s="5" t="n">
        <v>70</v>
      </c>
      <c r="N91" s="2" t="s">
        <v>65</v>
      </c>
      <c r="O91" s="2" t="s">
        <v>769</v>
      </c>
      <c r="P91" s="6" t="s">
        <v>45</v>
      </c>
      <c r="Q91" s="2"/>
      <c r="R91" s="7"/>
      <c r="S91" s="2" t="str">
        <f aca="false">IF(COUNTA(U91:W91)&gt;0,"Yes","No")</f>
        <v>No</v>
      </c>
      <c r="T91" s="2" t="s">
        <v>770</v>
      </c>
      <c r="U91" s="2"/>
      <c r="V91" s="2"/>
      <c r="W91" s="2"/>
      <c r="X91" s="2" t="s">
        <v>771</v>
      </c>
      <c r="Y91" s="2" t="s">
        <v>772</v>
      </c>
      <c r="Z91" s="2" t="s">
        <v>773</v>
      </c>
      <c r="AA91" s="2"/>
      <c r="AB91" s="2"/>
      <c r="AC91" s="2"/>
      <c r="AD91" s="2"/>
      <c r="AE91" s="2"/>
      <c r="AF91" s="2" t="s">
        <v>45</v>
      </c>
      <c r="AG91" s="2" t="s">
        <v>45</v>
      </c>
      <c r="AH91" s="2" t="s">
        <v>45</v>
      </c>
      <c r="AI91" s="2" t="n">
        <f aca="false">COUNTIF('Needs review'!$A:$A,B91)</f>
        <v>0</v>
      </c>
    </row>
    <row r="92" customFormat="false" ht="15" hidden="false" customHeight="false" outlineLevel="0" collapsed="false">
      <c r="A92" s="2" t="s">
        <v>774</v>
      </c>
      <c r="B92" s="2" t="s">
        <v>775</v>
      </c>
      <c r="C92" s="2" t="s">
        <v>548</v>
      </c>
      <c r="D92" s="2" t="s">
        <v>549</v>
      </c>
      <c r="E92" s="2" t="s">
        <v>776</v>
      </c>
      <c r="F92" s="2" t="s">
        <v>40</v>
      </c>
      <c r="G92" s="2" t="s">
        <v>615</v>
      </c>
      <c r="H92" s="2"/>
      <c r="I92" s="3"/>
      <c r="J92" s="2"/>
      <c r="K92" s="4" t="n">
        <v>960</v>
      </c>
      <c r="L92" s="5" t="n">
        <v>26.67</v>
      </c>
      <c r="M92" s="5" t="n">
        <v>36</v>
      </c>
      <c r="N92" s="2" t="s">
        <v>65</v>
      </c>
      <c r="O92" s="2" t="s">
        <v>777</v>
      </c>
      <c r="P92" s="6" t="s">
        <v>122</v>
      </c>
      <c r="Q92" s="2" t="s">
        <v>778</v>
      </c>
      <c r="R92" s="7"/>
      <c r="S92" s="2" t="str">
        <f aca="false">IF(COUNTA(U92:W92)&gt;0,"Yes","No")</f>
        <v>No</v>
      </c>
      <c r="T92" s="2"/>
      <c r="U92" s="2"/>
      <c r="V92" s="2"/>
      <c r="W92" s="2"/>
      <c r="X92" s="2"/>
      <c r="Y92" s="2"/>
      <c r="Z92" s="2"/>
      <c r="AA92" s="2"/>
      <c r="AB92" s="2"/>
      <c r="AC92" s="2"/>
      <c r="AD92" s="2"/>
      <c r="AE92" s="2"/>
      <c r="AF92" s="2" t="s">
        <v>45</v>
      </c>
      <c r="AG92" s="2" t="s">
        <v>45</v>
      </c>
      <c r="AH92" s="2" t="s">
        <v>122</v>
      </c>
      <c r="AI92" s="2" t="n">
        <f aca="false">COUNTIF('Needs review'!$A:$A,B92)</f>
        <v>2</v>
      </c>
    </row>
    <row r="93" customFormat="false" ht="15" hidden="false" customHeight="false" outlineLevel="0" collapsed="false">
      <c r="A93" s="2" t="s">
        <v>779</v>
      </c>
      <c r="B93" s="2" t="s">
        <v>780</v>
      </c>
      <c r="C93" s="2" t="s">
        <v>548</v>
      </c>
      <c r="D93" s="2" t="s">
        <v>549</v>
      </c>
      <c r="E93" s="2" t="s">
        <v>776</v>
      </c>
      <c r="F93" s="2" t="s">
        <v>40</v>
      </c>
      <c r="G93" s="2" t="s">
        <v>599</v>
      </c>
      <c r="H93" s="2"/>
      <c r="I93" s="3"/>
      <c r="J93" s="2"/>
      <c r="K93" s="4" t="n">
        <v>1024</v>
      </c>
      <c r="L93" s="5" t="n">
        <v>24</v>
      </c>
      <c r="M93" s="5" t="n">
        <v>44</v>
      </c>
      <c r="N93" s="2" t="s">
        <v>65</v>
      </c>
      <c r="O93" s="2" t="s">
        <v>781</v>
      </c>
      <c r="P93" s="6" t="s">
        <v>122</v>
      </c>
      <c r="Q93" s="2" t="s">
        <v>778</v>
      </c>
      <c r="R93" s="7"/>
      <c r="S93" s="2" t="str">
        <f aca="false">IF(COUNTA(U93:W93)&gt;0,"Yes","No")</f>
        <v>No</v>
      </c>
      <c r="T93" s="2"/>
      <c r="U93" s="2"/>
      <c r="V93" s="2"/>
      <c r="W93" s="2"/>
      <c r="X93" s="2"/>
      <c r="Y93" s="2"/>
      <c r="Z93" s="2"/>
      <c r="AA93" s="2"/>
      <c r="AB93" s="2"/>
      <c r="AC93" s="2"/>
      <c r="AD93" s="2"/>
      <c r="AE93" s="2"/>
      <c r="AF93" s="2" t="s">
        <v>45</v>
      </c>
      <c r="AG93" s="2" t="s">
        <v>45</v>
      </c>
      <c r="AH93" s="2" t="s">
        <v>122</v>
      </c>
      <c r="AI93" s="2" t="n">
        <f aca="false">COUNTIF('Needs review'!$A:$A,B93)</f>
        <v>2</v>
      </c>
    </row>
    <row r="94" customFormat="false" ht="15" hidden="false" customHeight="false" outlineLevel="0" collapsed="false">
      <c r="A94" s="2" t="s">
        <v>782</v>
      </c>
      <c r="B94" s="2" t="s">
        <v>783</v>
      </c>
      <c r="C94" s="2" t="s">
        <v>548</v>
      </c>
      <c r="D94" s="2" t="s">
        <v>549</v>
      </c>
      <c r="E94" s="2" t="s">
        <v>776</v>
      </c>
      <c r="F94" s="2" t="s">
        <v>40</v>
      </c>
      <c r="G94" s="2" t="s">
        <v>694</v>
      </c>
      <c r="H94" s="2"/>
      <c r="I94" s="3"/>
      <c r="J94" s="2"/>
      <c r="K94" s="4" t="n">
        <v>1413</v>
      </c>
      <c r="L94" s="5" t="n">
        <v>26.67</v>
      </c>
      <c r="M94" s="5" t="n">
        <v>56</v>
      </c>
      <c r="N94" s="2" t="s">
        <v>65</v>
      </c>
      <c r="O94" s="2" t="s">
        <v>703</v>
      </c>
      <c r="P94" s="6" t="s">
        <v>122</v>
      </c>
      <c r="Q94" s="2" t="s">
        <v>778</v>
      </c>
      <c r="R94" s="7"/>
      <c r="S94" s="2" t="str">
        <f aca="false">IF(COUNTA(U94:W94)&gt;0,"Yes","No")</f>
        <v>No</v>
      </c>
      <c r="T94" s="2"/>
      <c r="U94" s="2"/>
      <c r="V94" s="2"/>
      <c r="W94" s="2"/>
      <c r="X94" s="2"/>
      <c r="Y94" s="2"/>
      <c r="Z94" s="2"/>
      <c r="AA94" s="2"/>
      <c r="AB94" s="2"/>
      <c r="AC94" s="2"/>
      <c r="AD94" s="2"/>
      <c r="AE94" s="2"/>
      <c r="AF94" s="2" t="s">
        <v>45</v>
      </c>
      <c r="AG94" s="2" t="s">
        <v>45</v>
      </c>
      <c r="AH94" s="2" t="s">
        <v>122</v>
      </c>
      <c r="AI94" s="2" t="n">
        <f aca="false">COUNTIF('Needs review'!$A:$A,B94)</f>
        <v>2</v>
      </c>
    </row>
    <row r="95" customFormat="false" ht="15" hidden="false" customHeight="false" outlineLevel="0" collapsed="false">
      <c r="A95" s="2" t="s">
        <v>784</v>
      </c>
      <c r="B95" s="2" t="s">
        <v>785</v>
      </c>
      <c r="C95" s="2" t="s">
        <v>548</v>
      </c>
      <c r="D95" s="2" t="s">
        <v>549</v>
      </c>
      <c r="E95" s="2" t="s">
        <v>776</v>
      </c>
      <c r="F95" s="2" t="s">
        <v>40</v>
      </c>
      <c r="G95" s="2" t="s">
        <v>664</v>
      </c>
      <c r="H95" s="2"/>
      <c r="I95" s="3"/>
      <c r="J95" s="2"/>
      <c r="K95" s="4" t="n">
        <v>1440</v>
      </c>
      <c r="L95" s="5" t="n">
        <v>30</v>
      </c>
      <c r="M95" s="5" t="n">
        <v>48</v>
      </c>
      <c r="N95" s="2" t="s">
        <v>65</v>
      </c>
      <c r="O95" s="2" t="s">
        <v>786</v>
      </c>
      <c r="P95" s="6" t="s">
        <v>122</v>
      </c>
      <c r="Q95" s="2" t="s">
        <v>778</v>
      </c>
      <c r="R95" s="7"/>
      <c r="S95" s="2" t="str">
        <f aca="false">IF(COUNTA(U95:W95)&gt;0,"Yes","No")</f>
        <v>No</v>
      </c>
      <c r="T95" s="2"/>
      <c r="U95" s="2"/>
      <c r="V95" s="2"/>
      <c r="W95" s="2"/>
      <c r="X95" s="2"/>
      <c r="Y95" s="2"/>
      <c r="Z95" s="2"/>
      <c r="AA95" s="2"/>
      <c r="AB95" s="2"/>
      <c r="AC95" s="2"/>
      <c r="AD95" s="2"/>
      <c r="AE95" s="2"/>
      <c r="AF95" s="2" t="s">
        <v>45</v>
      </c>
      <c r="AG95" s="2" t="s">
        <v>45</v>
      </c>
      <c r="AH95" s="2" t="s">
        <v>122</v>
      </c>
      <c r="AI95" s="2" t="n">
        <f aca="false">COUNTIF('Needs review'!$A:$A,B95)</f>
        <v>2</v>
      </c>
    </row>
    <row r="96" customFormat="false" ht="15" hidden="false" customHeight="false" outlineLevel="0" collapsed="false">
      <c r="A96" s="2" t="s">
        <v>787</v>
      </c>
      <c r="B96" s="2" t="s">
        <v>788</v>
      </c>
      <c r="C96" s="2" t="s">
        <v>548</v>
      </c>
      <c r="D96" s="2" t="s">
        <v>549</v>
      </c>
      <c r="E96" s="2" t="s">
        <v>776</v>
      </c>
      <c r="F96" s="2" t="s">
        <v>40</v>
      </c>
      <c r="G96" s="2" t="s">
        <v>673</v>
      </c>
      <c r="H96" s="2"/>
      <c r="I96" s="3"/>
      <c r="J96" s="2"/>
      <c r="K96" s="4" t="n">
        <v>1440</v>
      </c>
      <c r="L96" s="5" t="n">
        <v>30</v>
      </c>
      <c r="M96" s="5" t="n">
        <v>48</v>
      </c>
      <c r="N96" s="2" t="s">
        <v>65</v>
      </c>
      <c r="O96" s="2" t="s">
        <v>789</v>
      </c>
      <c r="P96" s="6" t="s">
        <v>122</v>
      </c>
      <c r="Q96" s="2" t="s">
        <v>778</v>
      </c>
      <c r="R96" s="7"/>
      <c r="S96" s="2" t="str">
        <f aca="false">IF(COUNTA(U96:W96)&gt;0,"Yes","No")</f>
        <v>No</v>
      </c>
      <c r="T96" s="2"/>
      <c r="U96" s="2"/>
      <c r="V96" s="2"/>
      <c r="W96" s="2"/>
      <c r="X96" s="2"/>
      <c r="Y96" s="2"/>
      <c r="Z96" s="2"/>
      <c r="AA96" s="2"/>
      <c r="AB96" s="2"/>
      <c r="AC96" s="2"/>
      <c r="AD96" s="2"/>
      <c r="AE96" s="2"/>
      <c r="AF96" s="2" t="s">
        <v>45</v>
      </c>
      <c r="AG96" s="2" t="s">
        <v>45</v>
      </c>
      <c r="AH96" s="2" t="s">
        <v>122</v>
      </c>
      <c r="AI96" s="2" t="n">
        <f aca="false">COUNTIF('Needs review'!$A:$A,B96)</f>
        <v>2</v>
      </c>
    </row>
    <row r="97" customFormat="false" ht="15" hidden="false" customHeight="false" outlineLevel="0" collapsed="false">
      <c r="A97" s="2" t="s">
        <v>790</v>
      </c>
      <c r="B97" s="2" t="s">
        <v>791</v>
      </c>
      <c r="C97" s="2" t="s">
        <v>548</v>
      </c>
      <c r="D97" s="2" t="s">
        <v>549</v>
      </c>
      <c r="E97" s="2" t="s">
        <v>776</v>
      </c>
      <c r="F97" s="2" t="s">
        <v>40</v>
      </c>
      <c r="G97" s="2" t="s">
        <v>687</v>
      </c>
      <c r="H97" s="2"/>
      <c r="I97" s="3"/>
      <c r="J97" s="2"/>
      <c r="K97" s="4" t="n">
        <v>1440</v>
      </c>
      <c r="L97" s="5" t="n">
        <v>30</v>
      </c>
      <c r="M97" s="5" t="n">
        <v>48</v>
      </c>
      <c r="N97" s="2" t="s">
        <v>65</v>
      </c>
      <c r="O97" s="2" t="s">
        <v>789</v>
      </c>
      <c r="P97" s="6" t="s">
        <v>122</v>
      </c>
      <c r="Q97" s="2" t="s">
        <v>778</v>
      </c>
      <c r="R97" s="7"/>
      <c r="S97" s="2" t="str">
        <f aca="false">IF(COUNTA(U97:W97)&gt;0,"Yes","No")</f>
        <v>No</v>
      </c>
      <c r="T97" s="2"/>
      <c r="U97" s="2"/>
      <c r="V97" s="2"/>
      <c r="W97" s="2"/>
      <c r="X97" s="2"/>
      <c r="Y97" s="2"/>
      <c r="Z97" s="2"/>
      <c r="AA97" s="2"/>
      <c r="AB97" s="2"/>
      <c r="AC97" s="2"/>
      <c r="AD97" s="2"/>
      <c r="AE97" s="2"/>
      <c r="AF97" s="2" t="s">
        <v>45</v>
      </c>
      <c r="AG97" s="2" t="s">
        <v>45</v>
      </c>
      <c r="AH97" s="2" t="s">
        <v>122</v>
      </c>
      <c r="AI97" s="2" t="n">
        <f aca="false">COUNTIF('Needs review'!$A:$A,B97)</f>
        <v>2</v>
      </c>
    </row>
    <row r="98" customFormat="false" ht="15" hidden="false" customHeight="false" outlineLevel="0" collapsed="false">
      <c r="A98" s="2" t="s">
        <v>792</v>
      </c>
      <c r="B98" s="2" t="s">
        <v>793</v>
      </c>
      <c r="C98" s="2" t="s">
        <v>548</v>
      </c>
      <c r="D98" s="2" t="s">
        <v>549</v>
      </c>
      <c r="E98" s="2" t="s">
        <v>776</v>
      </c>
      <c r="F98" s="2" t="s">
        <v>40</v>
      </c>
      <c r="G98" s="2" t="s">
        <v>702</v>
      </c>
      <c r="H98" s="2"/>
      <c r="I98" s="3"/>
      <c r="J98" s="2"/>
      <c r="K98" s="4" t="n">
        <v>1680</v>
      </c>
      <c r="L98" s="5" t="n">
        <v>30</v>
      </c>
      <c r="M98" s="5" t="n">
        <v>56</v>
      </c>
      <c r="N98" s="2" t="s">
        <v>65</v>
      </c>
      <c r="O98" s="2" t="s">
        <v>794</v>
      </c>
      <c r="P98" s="6" t="s">
        <v>122</v>
      </c>
      <c r="Q98" s="2" t="s">
        <v>778</v>
      </c>
      <c r="R98" s="7"/>
      <c r="S98" s="2" t="str">
        <f aca="false">IF(COUNTA(U98:W98)&gt;0,"Yes","No")</f>
        <v>No</v>
      </c>
      <c r="T98" s="2"/>
      <c r="U98" s="2"/>
      <c r="V98" s="2"/>
      <c r="W98" s="2"/>
      <c r="X98" s="2"/>
      <c r="Y98" s="2"/>
      <c r="Z98" s="2"/>
      <c r="AA98" s="2"/>
      <c r="AB98" s="2"/>
      <c r="AC98" s="2"/>
      <c r="AD98" s="2"/>
      <c r="AE98" s="2"/>
      <c r="AF98" s="2" t="s">
        <v>45</v>
      </c>
      <c r="AG98" s="2" t="s">
        <v>45</v>
      </c>
      <c r="AH98" s="2" t="s">
        <v>122</v>
      </c>
      <c r="AI98" s="2" t="n">
        <f aca="false">COUNTIF('Needs review'!$A:$A,B98)</f>
        <v>2</v>
      </c>
    </row>
    <row r="99" customFormat="false" ht="15" hidden="false" customHeight="false" outlineLevel="0" collapsed="false">
      <c r="A99" s="2" t="s">
        <v>795</v>
      </c>
      <c r="B99" s="2" t="s">
        <v>796</v>
      </c>
      <c r="C99" s="2" t="s">
        <v>548</v>
      </c>
      <c r="D99" s="2" t="s">
        <v>549</v>
      </c>
      <c r="E99" s="2" t="s">
        <v>776</v>
      </c>
      <c r="F99" s="2" t="s">
        <v>40</v>
      </c>
      <c r="G99" s="2" t="s">
        <v>710</v>
      </c>
      <c r="H99" s="2"/>
      <c r="I99" s="3"/>
      <c r="J99" s="2"/>
      <c r="K99" s="4" t="n">
        <v>1680</v>
      </c>
      <c r="L99" s="5" t="n">
        <v>30</v>
      </c>
      <c r="M99" s="5" t="n">
        <v>56</v>
      </c>
      <c r="N99" s="2" t="s">
        <v>65</v>
      </c>
      <c r="O99" s="2" t="s">
        <v>794</v>
      </c>
      <c r="P99" s="6" t="s">
        <v>122</v>
      </c>
      <c r="Q99" s="2" t="s">
        <v>778</v>
      </c>
      <c r="R99" s="7"/>
      <c r="S99" s="2" t="str">
        <f aca="false">IF(COUNTA(U99:W99)&gt;0,"Yes","No")</f>
        <v>No</v>
      </c>
      <c r="T99" s="2"/>
      <c r="U99" s="2"/>
      <c r="V99" s="2"/>
      <c r="W99" s="2"/>
      <c r="X99" s="2"/>
      <c r="Y99" s="2"/>
      <c r="Z99" s="2"/>
      <c r="AA99" s="2"/>
      <c r="AB99" s="2"/>
      <c r="AC99" s="2"/>
      <c r="AD99" s="2"/>
      <c r="AE99" s="2"/>
      <c r="AF99" s="2" t="s">
        <v>45</v>
      </c>
      <c r="AG99" s="2" t="s">
        <v>45</v>
      </c>
      <c r="AH99" s="2" t="s">
        <v>122</v>
      </c>
      <c r="AI99" s="2" t="n">
        <f aca="false">COUNTIF('Needs review'!$A:$A,B99)</f>
        <v>2</v>
      </c>
    </row>
    <row r="100" customFormat="false" ht="15" hidden="false" customHeight="false" outlineLevel="0" collapsed="false">
      <c r="A100" s="2" t="s">
        <v>797</v>
      </c>
      <c r="B100" s="2" t="s">
        <v>798</v>
      </c>
      <c r="C100" s="2" t="s">
        <v>548</v>
      </c>
      <c r="D100" s="2" t="s">
        <v>549</v>
      </c>
      <c r="E100" s="2" t="s">
        <v>776</v>
      </c>
      <c r="F100" s="2" t="s">
        <v>40</v>
      </c>
      <c r="G100" s="2" t="s">
        <v>718</v>
      </c>
      <c r="H100" s="2"/>
      <c r="I100" s="3"/>
      <c r="J100" s="2"/>
      <c r="K100" s="4" t="n">
        <v>1680</v>
      </c>
      <c r="L100" s="5" t="n">
        <v>30</v>
      </c>
      <c r="M100" s="5" t="n">
        <v>56</v>
      </c>
      <c r="N100" s="2" t="s">
        <v>65</v>
      </c>
      <c r="O100" s="2" t="s">
        <v>794</v>
      </c>
      <c r="P100" s="6" t="s">
        <v>122</v>
      </c>
      <c r="Q100" s="2" t="s">
        <v>778</v>
      </c>
      <c r="R100" s="7"/>
      <c r="S100" s="2" t="str">
        <f aca="false">IF(COUNTA(U100:W100)&gt;0,"Yes","No")</f>
        <v>No</v>
      </c>
      <c r="T100" s="2"/>
      <c r="U100" s="2"/>
      <c r="V100" s="2"/>
      <c r="W100" s="2"/>
      <c r="X100" s="2"/>
      <c r="Y100" s="2"/>
      <c r="Z100" s="2"/>
      <c r="AA100" s="2"/>
      <c r="AB100" s="2"/>
      <c r="AC100" s="2"/>
      <c r="AD100" s="2"/>
      <c r="AE100" s="2"/>
      <c r="AF100" s="2" t="s">
        <v>45</v>
      </c>
      <c r="AG100" s="2" t="s">
        <v>45</v>
      </c>
      <c r="AH100" s="2" t="s">
        <v>122</v>
      </c>
      <c r="AI100" s="2" t="n">
        <f aca="false">COUNTIF('Needs review'!$A:$A,B100)</f>
        <v>2</v>
      </c>
    </row>
    <row r="101" customFormat="false" ht="15" hidden="false" customHeight="false" outlineLevel="0" collapsed="false">
      <c r="A101" s="2" t="s">
        <v>799</v>
      </c>
      <c r="B101" s="2" t="s">
        <v>800</v>
      </c>
      <c r="C101" s="2" t="s">
        <v>548</v>
      </c>
      <c r="D101" s="2" t="s">
        <v>549</v>
      </c>
      <c r="E101" s="2" t="s">
        <v>776</v>
      </c>
      <c r="F101" s="2" t="s">
        <v>40</v>
      </c>
      <c r="G101" s="2" t="s">
        <v>740</v>
      </c>
      <c r="H101" s="2"/>
      <c r="I101" s="3"/>
      <c r="J101" s="2"/>
      <c r="K101" s="4" t="n">
        <v>1800</v>
      </c>
      <c r="L101" s="5" t="n">
        <v>30</v>
      </c>
      <c r="M101" s="5" t="n">
        <v>60</v>
      </c>
      <c r="N101" s="2" t="s">
        <v>65</v>
      </c>
      <c r="O101" s="2" t="s">
        <v>801</v>
      </c>
      <c r="P101" s="6" t="s">
        <v>122</v>
      </c>
      <c r="Q101" s="2" t="s">
        <v>778</v>
      </c>
      <c r="R101" s="7"/>
      <c r="S101" s="2" t="str">
        <f aca="false">IF(COUNTA(U101:W101)&gt;0,"Yes","No")</f>
        <v>No</v>
      </c>
      <c r="T101" s="2"/>
      <c r="U101" s="2"/>
      <c r="V101" s="2"/>
      <c r="W101" s="2"/>
      <c r="X101" s="2"/>
      <c r="Y101" s="2"/>
      <c r="Z101" s="2"/>
      <c r="AA101" s="2"/>
      <c r="AB101" s="2"/>
      <c r="AC101" s="2"/>
      <c r="AD101" s="2"/>
      <c r="AE101" s="2"/>
      <c r="AF101" s="2" t="s">
        <v>45</v>
      </c>
      <c r="AG101" s="2" t="s">
        <v>45</v>
      </c>
      <c r="AH101" s="2" t="s">
        <v>122</v>
      </c>
      <c r="AI101" s="2" t="n">
        <f aca="false">COUNTIF('Needs review'!$A:$A,B101)</f>
        <v>2</v>
      </c>
    </row>
    <row r="102" customFormat="false" ht="15" hidden="false" customHeight="false" outlineLevel="0" collapsed="false">
      <c r="A102" s="2" t="s">
        <v>802</v>
      </c>
      <c r="B102" s="2" t="s">
        <v>803</v>
      </c>
      <c r="C102" s="2" t="s">
        <v>548</v>
      </c>
      <c r="D102" s="2" t="s">
        <v>549</v>
      </c>
      <c r="E102" s="2" t="s">
        <v>776</v>
      </c>
      <c r="F102" s="2" t="s">
        <v>40</v>
      </c>
      <c r="G102" s="2" t="s">
        <v>748</v>
      </c>
      <c r="H102" s="2"/>
      <c r="I102" s="3"/>
      <c r="J102" s="2"/>
      <c r="K102" s="4" t="n">
        <v>1800</v>
      </c>
      <c r="L102" s="5" t="n">
        <v>30</v>
      </c>
      <c r="M102" s="5" t="n">
        <v>60</v>
      </c>
      <c r="N102" s="2" t="s">
        <v>65</v>
      </c>
      <c r="O102" s="2" t="s">
        <v>801</v>
      </c>
      <c r="P102" s="6" t="s">
        <v>122</v>
      </c>
      <c r="Q102" s="2" t="s">
        <v>778</v>
      </c>
      <c r="R102" s="7"/>
      <c r="S102" s="2" t="str">
        <f aca="false">IF(COUNTA(U102:W102)&gt;0,"Yes","No")</f>
        <v>No</v>
      </c>
      <c r="T102" s="2"/>
      <c r="U102" s="2"/>
      <c r="V102" s="2"/>
      <c r="W102" s="2"/>
      <c r="X102" s="2"/>
      <c r="Y102" s="2"/>
      <c r="Z102" s="2"/>
      <c r="AA102" s="2"/>
      <c r="AB102" s="2"/>
      <c r="AC102" s="2"/>
      <c r="AD102" s="2"/>
      <c r="AE102" s="2"/>
      <c r="AF102" s="2" t="s">
        <v>45</v>
      </c>
      <c r="AG102" s="2" t="s">
        <v>45</v>
      </c>
      <c r="AH102" s="2" t="s">
        <v>122</v>
      </c>
      <c r="AI102" s="2" t="n">
        <f aca="false">COUNTIF('Needs review'!$A:$A,B102)</f>
        <v>2</v>
      </c>
    </row>
    <row r="103" customFormat="false" ht="15" hidden="false" customHeight="false" outlineLevel="0" collapsed="false">
      <c r="A103" s="2" t="s">
        <v>804</v>
      </c>
      <c r="B103" s="2" t="s">
        <v>805</v>
      </c>
      <c r="C103" s="2" t="s">
        <v>548</v>
      </c>
      <c r="D103" s="2" t="s">
        <v>549</v>
      </c>
      <c r="E103" s="2" t="s">
        <v>776</v>
      </c>
      <c r="F103" s="2" t="s">
        <v>40</v>
      </c>
      <c r="G103" s="2" t="s">
        <v>755</v>
      </c>
      <c r="H103" s="2"/>
      <c r="I103" s="3"/>
      <c r="J103" s="2"/>
      <c r="K103" s="4" t="n">
        <v>2040</v>
      </c>
      <c r="L103" s="5" t="n">
        <v>30</v>
      </c>
      <c r="M103" s="5" t="n">
        <v>68</v>
      </c>
      <c r="N103" s="2" t="s">
        <v>65</v>
      </c>
      <c r="O103" s="2" t="s">
        <v>806</v>
      </c>
      <c r="P103" s="6" t="s">
        <v>122</v>
      </c>
      <c r="Q103" s="2" t="s">
        <v>778</v>
      </c>
      <c r="R103" s="7"/>
      <c r="S103" s="2" t="str">
        <f aca="false">IF(COUNTA(U103:W103)&gt;0,"Yes","No")</f>
        <v>No</v>
      </c>
      <c r="T103" s="2"/>
      <c r="U103" s="2"/>
      <c r="V103" s="2"/>
      <c r="W103" s="2"/>
      <c r="X103" s="2"/>
      <c r="Y103" s="2"/>
      <c r="Z103" s="2"/>
      <c r="AA103" s="2"/>
      <c r="AB103" s="2"/>
      <c r="AC103" s="2"/>
      <c r="AD103" s="2"/>
      <c r="AE103" s="2"/>
      <c r="AF103" s="2" t="s">
        <v>45</v>
      </c>
      <c r="AG103" s="2" t="s">
        <v>45</v>
      </c>
      <c r="AH103" s="2" t="s">
        <v>122</v>
      </c>
      <c r="AI103" s="2" t="n">
        <f aca="false">COUNTIF('Needs review'!$A:$A,B103)</f>
        <v>2</v>
      </c>
    </row>
    <row r="104" customFormat="false" ht="15" hidden="false" customHeight="false" outlineLevel="0" collapsed="false">
      <c r="A104" s="2" t="s">
        <v>807</v>
      </c>
      <c r="B104" s="2" t="s">
        <v>808</v>
      </c>
      <c r="C104" s="2" t="s">
        <v>548</v>
      </c>
      <c r="D104" s="2" t="s">
        <v>549</v>
      </c>
      <c r="E104" s="2" t="s">
        <v>776</v>
      </c>
      <c r="F104" s="2" t="s">
        <v>40</v>
      </c>
      <c r="G104" s="2" t="s">
        <v>761</v>
      </c>
      <c r="H104" s="2"/>
      <c r="I104" s="3"/>
      <c r="J104" s="2"/>
      <c r="K104" s="4" t="n">
        <v>2160</v>
      </c>
      <c r="L104" s="5" t="n">
        <v>30</v>
      </c>
      <c r="M104" s="5" t="n">
        <v>72</v>
      </c>
      <c r="N104" s="2" t="s">
        <v>65</v>
      </c>
      <c r="O104" s="2" t="s">
        <v>809</v>
      </c>
      <c r="P104" s="6" t="s">
        <v>122</v>
      </c>
      <c r="Q104" s="2" t="s">
        <v>778</v>
      </c>
      <c r="R104" s="7"/>
      <c r="S104" s="2" t="str">
        <f aca="false">IF(COUNTA(U104:W104)&gt;0,"Yes","No")</f>
        <v>No</v>
      </c>
      <c r="T104" s="2"/>
      <c r="U104" s="2"/>
      <c r="V104" s="2"/>
      <c r="W104" s="2"/>
      <c r="X104" s="2"/>
      <c r="Y104" s="2"/>
      <c r="Z104" s="2"/>
      <c r="AA104" s="2"/>
      <c r="AB104" s="2"/>
      <c r="AC104" s="2"/>
      <c r="AD104" s="2"/>
      <c r="AE104" s="2"/>
      <c r="AF104" s="2" t="s">
        <v>45</v>
      </c>
      <c r="AG104" s="2" t="s">
        <v>45</v>
      </c>
      <c r="AH104" s="2" t="s">
        <v>122</v>
      </c>
      <c r="AI104" s="2" t="n">
        <f aca="false">COUNTIF('Needs review'!$A:$A,B104)</f>
        <v>2</v>
      </c>
    </row>
    <row r="105" customFormat="false" ht="15" hidden="false" customHeight="false" outlineLevel="0" collapsed="false">
      <c r="A105" s="2" t="s">
        <v>810</v>
      </c>
      <c r="B105" s="2" t="s">
        <v>811</v>
      </c>
      <c r="C105" s="2" t="s">
        <v>548</v>
      </c>
      <c r="D105" s="2" t="s">
        <v>812</v>
      </c>
      <c r="E105" s="2" t="s">
        <v>39</v>
      </c>
      <c r="F105" s="2" t="s">
        <v>40</v>
      </c>
      <c r="G105" s="2" t="s">
        <v>813</v>
      </c>
      <c r="H105" s="2"/>
      <c r="I105" s="3" t="n">
        <v>2</v>
      </c>
      <c r="J105" s="2" t="n">
        <v>2</v>
      </c>
      <c r="K105" s="4" t="n">
        <v>839</v>
      </c>
      <c r="L105" s="5" t="n">
        <v>19.67</v>
      </c>
      <c r="M105" s="5" t="n">
        <v>44</v>
      </c>
      <c r="N105" s="2" t="s">
        <v>65</v>
      </c>
      <c r="O105" s="2" t="s">
        <v>814</v>
      </c>
      <c r="P105" s="6" t="s">
        <v>45</v>
      </c>
      <c r="Q105" s="2"/>
      <c r="R105" s="7"/>
      <c r="S105" s="2" t="str">
        <f aca="false">IF(COUNTA(U105:W105)&gt;0,"Yes","No")</f>
        <v>Yes</v>
      </c>
      <c r="T105" s="2" t="s">
        <v>815</v>
      </c>
      <c r="U105" s="2" t="s">
        <v>816</v>
      </c>
      <c r="V105" s="2"/>
      <c r="W105" s="2"/>
      <c r="X105" s="2" t="s">
        <v>817</v>
      </c>
      <c r="Y105" s="2" t="s">
        <v>818</v>
      </c>
      <c r="Z105" s="2"/>
      <c r="AA105" s="2"/>
      <c r="AB105" s="2"/>
      <c r="AC105" s="2"/>
      <c r="AD105" s="2"/>
      <c r="AE105" s="2"/>
      <c r="AF105" s="2" t="s">
        <v>45</v>
      </c>
      <c r="AG105" s="2" t="s">
        <v>45</v>
      </c>
      <c r="AH105" s="2" t="s">
        <v>45</v>
      </c>
      <c r="AI105" s="2" t="n">
        <f aca="false">COUNTIF('Needs review'!$A:$A,B105)</f>
        <v>0</v>
      </c>
    </row>
    <row r="106" customFormat="false" ht="15" hidden="false" customHeight="false" outlineLevel="0" collapsed="false">
      <c r="A106" s="2" t="s">
        <v>819</v>
      </c>
      <c r="B106" s="2" t="s">
        <v>820</v>
      </c>
      <c r="C106" s="2" t="s">
        <v>548</v>
      </c>
      <c r="D106" s="2" t="s">
        <v>812</v>
      </c>
      <c r="E106" s="2" t="s">
        <v>39</v>
      </c>
      <c r="F106" s="2" t="s">
        <v>40</v>
      </c>
      <c r="G106" s="2" t="s">
        <v>821</v>
      </c>
      <c r="H106" s="2"/>
      <c r="I106" s="3" t="n">
        <v>2</v>
      </c>
      <c r="J106" s="2" t="n">
        <v>2</v>
      </c>
      <c r="K106" s="4" t="n">
        <v>864</v>
      </c>
      <c r="L106" s="5" t="n">
        <v>24</v>
      </c>
      <c r="M106" s="5" t="n">
        <v>36</v>
      </c>
      <c r="N106" s="2" t="s">
        <v>65</v>
      </c>
      <c r="O106" s="2" t="s">
        <v>616</v>
      </c>
      <c r="P106" s="6" t="s">
        <v>45</v>
      </c>
      <c r="Q106" s="2"/>
      <c r="R106" s="7"/>
      <c r="S106" s="2" t="str">
        <f aca="false">IF(COUNTA(U106:W106)&gt;0,"Yes","No")</f>
        <v>No</v>
      </c>
      <c r="T106" s="2" t="s">
        <v>822</v>
      </c>
      <c r="U106" s="2"/>
      <c r="V106" s="2"/>
      <c r="W106" s="2"/>
      <c r="X106" s="2" t="s">
        <v>823</v>
      </c>
      <c r="Y106" s="2" t="s">
        <v>824</v>
      </c>
      <c r="Z106" s="2"/>
      <c r="AA106" s="2"/>
      <c r="AB106" s="2"/>
      <c r="AC106" s="2"/>
      <c r="AD106" s="2"/>
      <c r="AE106" s="2"/>
      <c r="AF106" s="2" t="s">
        <v>45</v>
      </c>
      <c r="AG106" s="2" t="s">
        <v>45</v>
      </c>
      <c r="AH106" s="2" t="s">
        <v>45</v>
      </c>
      <c r="AI106" s="2" t="n">
        <f aca="false">COUNTIF('Needs review'!$A:$A,B106)</f>
        <v>0</v>
      </c>
    </row>
    <row r="107" customFormat="false" ht="15" hidden="false" customHeight="false" outlineLevel="0" collapsed="false">
      <c r="A107" s="2" t="s">
        <v>825</v>
      </c>
      <c r="B107" s="2" t="s">
        <v>826</v>
      </c>
      <c r="C107" s="2" t="s">
        <v>548</v>
      </c>
      <c r="D107" s="2" t="s">
        <v>812</v>
      </c>
      <c r="E107" s="2" t="s">
        <v>39</v>
      </c>
      <c r="F107" s="2" t="s">
        <v>40</v>
      </c>
      <c r="G107" s="2" t="s">
        <v>827</v>
      </c>
      <c r="H107" s="2"/>
      <c r="I107" s="3" t="n">
        <v>3</v>
      </c>
      <c r="J107" s="2" t="n">
        <v>2</v>
      </c>
      <c r="K107" s="4" t="n">
        <v>1056</v>
      </c>
      <c r="L107" s="5" t="n">
        <v>24</v>
      </c>
      <c r="M107" s="5" t="n">
        <v>44</v>
      </c>
      <c r="N107" s="2" t="s">
        <v>65</v>
      </c>
      <c r="O107" s="2" t="s">
        <v>641</v>
      </c>
      <c r="P107" s="6" t="s">
        <v>45</v>
      </c>
      <c r="Q107" s="2"/>
      <c r="R107" s="7"/>
      <c r="S107" s="2" t="str">
        <f aca="false">IF(COUNTA(U107:W107)&gt;0,"Yes","No")</f>
        <v>No</v>
      </c>
      <c r="T107" s="2" t="s">
        <v>828</v>
      </c>
      <c r="U107" s="2"/>
      <c r="V107" s="2"/>
      <c r="W107" s="2"/>
      <c r="X107" s="2" t="s">
        <v>829</v>
      </c>
      <c r="Y107" s="2" t="s">
        <v>830</v>
      </c>
      <c r="Z107" s="2"/>
      <c r="AA107" s="2"/>
      <c r="AB107" s="2"/>
      <c r="AC107" s="2"/>
      <c r="AD107" s="2"/>
      <c r="AE107" s="2"/>
      <c r="AF107" s="2" t="s">
        <v>45</v>
      </c>
      <c r="AG107" s="2" t="s">
        <v>45</v>
      </c>
      <c r="AH107" s="2" t="s">
        <v>45</v>
      </c>
      <c r="AI107" s="2" t="n">
        <f aca="false">COUNTIF('Needs review'!$A:$A,B107)</f>
        <v>0</v>
      </c>
    </row>
    <row r="108" customFormat="false" ht="15" hidden="false" customHeight="false" outlineLevel="0" collapsed="false">
      <c r="A108" s="2" t="s">
        <v>831</v>
      </c>
      <c r="B108" s="2" t="s">
        <v>832</v>
      </c>
      <c r="C108" s="2" t="s">
        <v>548</v>
      </c>
      <c r="D108" s="2" t="s">
        <v>812</v>
      </c>
      <c r="E108" s="2" t="s">
        <v>39</v>
      </c>
      <c r="F108" s="2" t="s">
        <v>40</v>
      </c>
      <c r="G108" s="2" t="s">
        <v>833</v>
      </c>
      <c r="H108" s="2"/>
      <c r="I108" s="3"/>
      <c r="J108" s="2"/>
      <c r="K108" s="4" t="n">
        <v>1173</v>
      </c>
      <c r="L108" s="5" t="n">
        <v>26.67</v>
      </c>
      <c r="M108" s="5" t="n">
        <v>44</v>
      </c>
      <c r="N108" s="2" t="s">
        <v>65</v>
      </c>
      <c r="O108" s="2" t="s">
        <v>657</v>
      </c>
      <c r="P108" s="6" t="s">
        <v>122</v>
      </c>
      <c r="Q108" s="2" t="s">
        <v>513</v>
      </c>
      <c r="R108" s="7"/>
      <c r="S108" s="2" t="str">
        <f aca="false">IF(COUNTA(U108:W108)&gt;0,"Yes","No")</f>
        <v>No</v>
      </c>
      <c r="T108" s="2" t="s">
        <v>834</v>
      </c>
      <c r="U108" s="2"/>
      <c r="V108" s="2"/>
      <c r="W108" s="2"/>
      <c r="X108" s="2" t="s">
        <v>835</v>
      </c>
      <c r="Y108" s="2" t="s">
        <v>836</v>
      </c>
      <c r="Z108" s="2"/>
      <c r="AA108" s="2"/>
      <c r="AB108" s="2"/>
      <c r="AC108" s="2"/>
      <c r="AD108" s="2"/>
      <c r="AE108" s="2"/>
      <c r="AF108" s="2" t="s">
        <v>45</v>
      </c>
      <c r="AG108" s="2" t="s">
        <v>45</v>
      </c>
      <c r="AH108" s="2" t="s">
        <v>45</v>
      </c>
      <c r="AI108" s="2" t="n">
        <f aca="false">COUNTIF('Needs review'!$A:$A,B108)</f>
        <v>1</v>
      </c>
    </row>
    <row r="109" customFormat="false" ht="15" hidden="false" customHeight="false" outlineLevel="0" collapsed="false">
      <c r="A109" s="2" t="s">
        <v>837</v>
      </c>
      <c r="B109" s="2" t="s">
        <v>838</v>
      </c>
      <c r="C109" s="2" t="s">
        <v>548</v>
      </c>
      <c r="D109" s="2" t="s">
        <v>812</v>
      </c>
      <c r="E109" s="2" t="s">
        <v>39</v>
      </c>
      <c r="F109" s="2" t="s">
        <v>40</v>
      </c>
      <c r="G109" s="2" t="s">
        <v>839</v>
      </c>
      <c r="H109" s="2"/>
      <c r="I109" s="3" t="n">
        <v>3</v>
      </c>
      <c r="J109" s="2" t="n">
        <v>2</v>
      </c>
      <c r="K109" s="4" t="n">
        <v>1280</v>
      </c>
      <c r="L109" s="5" t="n">
        <v>26.67</v>
      </c>
      <c r="M109" s="5" t="n">
        <v>48</v>
      </c>
      <c r="N109" s="2" t="s">
        <v>65</v>
      </c>
      <c r="O109" s="2" t="s">
        <v>665</v>
      </c>
      <c r="P109" s="6" t="s">
        <v>45</v>
      </c>
      <c r="Q109" s="2"/>
      <c r="R109" s="7"/>
      <c r="S109" s="2" t="str">
        <f aca="false">IF(COUNTA(U109:W109)&gt;0,"Yes","No")</f>
        <v>No</v>
      </c>
      <c r="T109" s="2" t="s">
        <v>840</v>
      </c>
      <c r="U109" s="2"/>
      <c r="V109" s="2"/>
      <c r="W109" s="2"/>
      <c r="X109" s="2" t="s">
        <v>841</v>
      </c>
      <c r="Y109" s="2" t="s">
        <v>842</v>
      </c>
      <c r="Z109" s="2"/>
      <c r="AA109" s="2"/>
      <c r="AB109" s="2"/>
      <c r="AC109" s="2"/>
      <c r="AD109" s="2"/>
      <c r="AE109" s="2"/>
      <c r="AF109" s="2" t="s">
        <v>45</v>
      </c>
      <c r="AG109" s="2" t="s">
        <v>45</v>
      </c>
      <c r="AH109" s="2" t="s">
        <v>45</v>
      </c>
      <c r="AI109" s="2" t="n">
        <f aca="false">COUNTIF('Needs review'!$A:$A,B109)</f>
        <v>0</v>
      </c>
    </row>
    <row r="110" customFormat="false" ht="15" hidden="false" customHeight="false" outlineLevel="0" collapsed="false">
      <c r="A110" s="2" t="s">
        <v>843</v>
      </c>
      <c r="B110" s="2" t="s">
        <v>844</v>
      </c>
      <c r="C110" s="2" t="s">
        <v>548</v>
      </c>
      <c r="D110" s="2" t="s">
        <v>812</v>
      </c>
      <c r="E110" s="2" t="s">
        <v>39</v>
      </c>
      <c r="F110" s="2" t="s">
        <v>40</v>
      </c>
      <c r="G110" s="2" t="s">
        <v>845</v>
      </c>
      <c r="H110" s="2"/>
      <c r="I110" s="3" t="n">
        <v>3</v>
      </c>
      <c r="J110" s="2" t="n">
        <v>2</v>
      </c>
      <c r="K110" s="4" t="n">
        <v>1280</v>
      </c>
      <c r="L110" s="5" t="n">
        <v>26.67</v>
      </c>
      <c r="M110" s="5" t="n">
        <v>48</v>
      </c>
      <c r="N110" s="2" t="s">
        <v>65</v>
      </c>
      <c r="O110" s="2" t="s">
        <v>665</v>
      </c>
      <c r="P110" s="6" t="s">
        <v>45</v>
      </c>
      <c r="Q110" s="2"/>
      <c r="R110" s="7"/>
      <c r="S110" s="2" t="str">
        <f aca="false">IF(COUNTA(U110:W110)&gt;0,"Yes","No")</f>
        <v>No</v>
      </c>
      <c r="T110" s="2" t="s">
        <v>846</v>
      </c>
      <c r="U110" s="2"/>
      <c r="V110" s="2"/>
      <c r="W110" s="2"/>
      <c r="X110" s="2" t="s">
        <v>841</v>
      </c>
      <c r="Y110" s="2" t="s">
        <v>842</v>
      </c>
      <c r="Z110" s="2"/>
      <c r="AA110" s="2"/>
      <c r="AB110" s="2"/>
      <c r="AC110" s="2"/>
      <c r="AD110" s="2"/>
      <c r="AE110" s="2"/>
      <c r="AF110" s="2" t="s">
        <v>45</v>
      </c>
      <c r="AG110" s="2" t="s">
        <v>45</v>
      </c>
      <c r="AH110" s="2" t="s">
        <v>45</v>
      </c>
      <c r="AI110" s="2" t="n">
        <f aca="false">COUNTIF('Needs review'!$A:$A,B110)</f>
        <v>0</v>
      </c>
    </row>
    <row r="111" customFormat="false" ht="15" hidden="false" customHeight="false" outlineLevel="0" collapsed="false">
      <c r="A111" s="2" t="s">
        <v>847</v>
      </c>
      <c r="B111" s="2" t="s">
        <v>848</v>
      </c>
      <c r="C111" s="2" t="s">
        <v>548</v>
      </c>
      <c r="D111" s="2" t="s">
        <v>812</v>
      </c>
      <c r="E111" s="2" t="s">
        <v>39</v>
      </c>
      <c r="F111" s="2" t="s">
        <v>40</v>
      </c>
      <c r="G111" s="2" t="s">
        <v>849</v>
      </c>
      <c r="H111" s="2"/>
      <c r="I111" s="3" t="n">
        <v>3</v>
      </c>
      <c r="J111" s="2" t="n">
        <v>2</v>
      </c>
      <c r="K111" s="4" t="n">
        <v>1280</v>
      </c>
      <c r="L111" s="5" t="n">
        <v>26.67</v>
      </c>
      <c r="M111" s="5" t="n">
        <v>48</v>
      </c>
      <c r="N111" s="2" t="s">
        <v>65</v>
      </c>
      <c r="O111" s="2" t="s">
        <v>665</v>
      </c>
      <c r="P111" s="6" t="s">
        <v>45</v>
      </c>
      <c r="Q111" s="2"/>
      <c r="R111" s="7"/>
      <c r="S111" s="2" t="str">
        <f aca="false">IF(COUNTA(U111:W111)&gt;0,"Yes","No")</f>
        <v>No</v>
      </c>
      <c r="T111" s="2" t="s">
        <v>850</v>
      </c>
      <c r="U111" s="2"/>
      <c r="V111" s="2"/>
      <c r="W111" s="2"/>
      <c r="X111" s="2" t="s">
        <v>851</v>
      </c>
      <c r="Y111" s="2" t="s">
        <v>852</v>
      </c>
      <c r="Z111" s="2"/>
      <c r="AA111" s="2"/>
      <c r="AB111" s="2"/>
      <c r="AC111" s="2"/>
      <c r="AD111" s="2"/>
      <c r="AE111" s="2"/>
      <c r="AF111" s="2" t="s">
        <v>45</v>
      </c>
      <c r="AG111" s="2" t="s">
        <v>45</v>
      </c>
      <c r="AH111" s="2" t="s">
        <v>45</v>
      </c>
      <c r="AI111" s="2" t="n">
        <f aca="false">COUNTIF('Needs review'!$A:$A,B111)</f>
        <v>0</v>
      </c>
    </row>
    <row r="112" customFormat="false" ht="15" hidden="false" customHeight="false" outlineLevel="0" collapsed="false">
      <c r="A112" s="2" t="s">
        <v>853</v>
      </c>
      <c r="B112" s="2" t="s">
        <v>854</v>
      </c>
      <c r="C112" s="2" t="s">
        <v>548</v>
      </c>
      <c r="D112" s="2" t="s">
        <v>812</v>
      </c>
      <c r="E112" s="2" t="s">
        <v>39</v>
      </c>
      <c r="F112" s="2" t="s">
        <v>40</v>
      </c>
      <c r="G112" s="2" t="s">
        <v>855</v>
      </c>
      <c r="H112" s="2"/>
      <c r="I112" s="3" t="n">
        <v>3</v>
      </c>
      <c r="J112" s="2" t="n">
        <v>2</v>
      </c>
      <c r="K112" s="4" t="n">
        <v>1280</v>
      </c>
      <c r="L112" s="5" t="n">
        <v>26.67</v>
      </c>
      <c r="M112" s="5" t="n">
        <v>48</v>
      </c>
      <c r="N112" s="2" t="s">
        <v>65</v>
      </c>
      <c r="O112" s="2" t="s">
        <v>665</v>
      </c>
      <c r="P112" s="6" t="s">
        <v>45</v>
      </c>
      <c r="Q112" s="2"/>
      <c r="R112" s="7"/>
      <c r="S112" s="2" t="str">
        <f aca="false">IF(COUNTA(U112:W112)&gt;0,"Yes","No")</f>
        <v>No</v>
      </c>
      <c r="T112" s="2" t="s">
        <v>856</v>
      </c>
      <c r="U112" s="2"/>
      <c r="V112" s="2"/>
      <c r="W112" s="2"/>
      <c r="X112" s="2" t="s">
        <v>857</v>
      </c>
      <c r="Y112" s="2" t="s">
        <v>858</v>
      </c>
      <c r="Z112" s="2"/>
      <c r="AA112" s="2"/>
      <c r="AB112" s="2"/>
      <c r="AC112" s="2"/>
      <c r="AD112" s="2"/>
      <c r="AE112" s="2"/>
      <c r="AF112" s="2" t="s">
        <v>45</v>
      </c>
      <c r="AG112" s="2" t="s">
        <v>45</v>
      </c>
      <c r="AH112" s="2" t="s">
        <v>45</v>
      </c>
      <c r="AI112" s="2" t="n">
        <f aca="false">COUNTIF('Needs review'!$A:$A,B112)</f>
        <v>0</v>
      </c>
    </row>
    <row r="113" customFormat="false" ht="15" hidden="false" customHeight="false" outlineLevel="0" collapsed="false">
      <c r="A113" s="2" t="s">
        <v>859</v>
      </c>
      <c r="B113" s="2" t="s">
        <v>860</v>
      </c>
      <c r="C113" s="2" t="s">
        <v>548</v>
      </c>
      <c r="D113" s="2" t="s">
        <v>812</v>
      </c>
      <c r="E113" s="2" t="s">
        <v>39</v>
      </c>
      <c r="F113" s="2" t="s">
        <v>40</v>
      </c>
      <c r="G113" s="2" t="s">
        <v>861</v>
      </c>
      <c r="H113" s="2"/>
      <c r="I113" s="3" t="n">
        <v>3</v>
      </c>
      <c r="J113" s="2" t="n">
        <v>2</v>
      </c>
      <c r="K113" s="4" t="n">
        <v>1344</v>
      </c>
      <c r="L113" s="5" t="n">
        <v>24</v>
      </c>
      <c r="M113" s="5" t="n">
        <v>56</v>
      </c>
      <c r="N113" s="2" t="s">
        <v>65</v>
      </c>
      <c r="O113" s="2" t="s">
        <v>695</v>
      </c>
      <c r="P113" s="6" t="s">
        <v>45</v>
      </c>
      <c r="Q113" s="2"/>
      <c r="R113" s="7"/>
      <c r="S113" s="2" t="str">
        <f aca="false">IF(COUNTA(U113:W113)&gt;0,"Yes","No")</f>
        <v>No</v>
      </c>
      <c r="T113" s="2" t="s">
        <v>862</v>
      </c>
      <c r="U113" s="2"/>
      <c r="V113" s="2"/>
      <c r="W113" s="2"/>
      <c r="X113" s="2" t="s">
        <v>863</v>
      </c>
      <c r="Y113" s="2" t="s">
        <v>864</v>
      </c>
      <c r="Z113" s="2"/>
      <c r="AA113" s="2"/>
      <c r="AB113" s="2"/>
      <c r="AC113" s="2"/>
      <c r="AD113" s="2"/>
      <c r="AE113" s="2"/>
      <c r="AF113" s="2" t="s">
        <v>45</v>
      </c>
      <c r="AG113" s="2" t="s">
        <v>45</v>
      </c>
      <c r="AH113" s="2" t="s">
        <v>45</v>
      </c>
      <c r="AI113" s="2" t="n">
        <f aca="false">COUNTIF('Needs review'!$A:$A,B113)</f>
        <v>0</v>
      </c>
    </row>
    <row r="114" customFormat="false" ht="15" hidden="false" customHeight="false" outlineLevel="0" collapsed="false">
      <c r="A114" s="2" t="s">
        <v>865</v>
      </c>
      <c r="B114" s="2" t="s">
        <v>866</v>
      </c>
      <c r="C114" s="2" t="s">
        <v>548</v>
      </c>
      <c r="D114" s="2" t="s">
        <v>812</v>
      </c>
      <c r="E114" s="2" t="s">
        <v>39</v>
      </c>
      <c r="F114" s="2" t="s">
        <v>40</v>
      </c>
      <c r="G114" s="2" t="s">
        <v>867</v>
      </c>
      <c r="H114" s="2"/>
      <c r="I114" s="3" t="n">
        <v>3</v>
      </c>
      <c r="J114" s="2" t="n">
        <v>2</v>
      </c>
      <c r="K114" s="4" t="n">
        <v>1493</v>
      </c>
      <c r="L114" s="5" t="n">
        <v>26.67</v>
      </c>
      <c r="M114" s="5" t="n">
        <v>56</v>
      </c>
      <c r="N114" s="2" t="s">
        <v>65</v>
      </c>
      <c r="O114" s="2" t="s">
        <v>703</v>
      </c>
      <c r="P114" s="6" t="s">
        <v>45</v>
      </c>
      <c r="Q114" s="2"/>
      <c r="R114" s="7"/>
      <c r="S114" s="2" t="str">
        <f aca="false">IF(COUNTA(U114:W114)&gt;0,"Yes","No")</f>
        <v>No</v>
      </c>
      <c r="T114" s="2" t="s">
        <v>868</v>
      </c>
      <c r="U114" s="2"/>
      <c r="V114" s="2"/>
      <c r="W114" s="2"/>
      <c r="X114" s="2" t="s">
        <v>869</v>
      </c>
      <c r="Y114" s="2" t="s">
        <v>870</v>
      </c>
      <c r="Z114" s="2"/>
      <c r="AA114" s="2"/>
      <c r="AB114" s="2"/>
      <c r="AC114" s="2"/>
      <c r="AD114" s="2"/>
      <c r="AE114" s="2"/>
      <c r="AF114" s="2" t="s">
        <v>45</v>
      </c>
      <c r="AG114" s="2" t="s">
        <v>45</v>
      </c>
      <c r="AH114" s="2" t="s">
        <v>45</v>
      </c>
      <c r="AI114" s="2" t="n">
        <f aca="false">COUNTIF('Needs review'!$A:$A,B114)</f>
        <v>0</v>
      </c>
    </row>
    <row r="115" customFormat="false" ht="15" hidden="false" customHeight="false" outlineLevel="0" collapsed="false">
      <c r="A115" s="2" t="s">
        <v>871</v>
      </c>
      <c r="B115" s="2" t="s">
        <v>872</v>
      </c>
      <c r="C115" s="2" t="s">
        <v>548</v>
      </c>
      <c r="D115" s="2" t="s">
        <v>812</v>
      </c>
      <c r="E115" s="2" t="s">
        <v>39</v>
      </c>
      <c r="F115" s="2" t="s">
        <v>40</v>
      </c>
      <c r="G115" s="2" t="s">
        <v>873</v>
      </c>
      <c r="H115" s="2"/>
      <c r="I115" s="3" t="n">
        <v>3</v>
      </c>
      <c r="J115" s="2" t="n">
        <v>2</v>
      </c>
      <c r="K115" s="4" t="n">
        <v>1493</v>
      </c>
      <c r="L115" s="5" t="n">
        <v>26.67</v>
      </c>
      <c r="M115" s="5" t="n">
        <v>56</v>
      </c>
      <c r="N115" s="2" t="s">
        <v>65</v>
      </c>
      <c r="O115" s="2" t="s">
        <v>703</v>
      </c>
      <c r="P115" s="6" t="s">
        <v>45</v>
      </c>
      <c r="Q115" s="2"/>
      <c r="R115" s="7"/>
      <c r="S115" s="2" t="str">
        <f aca="false">IF(COUNTA(U115:W115)&gt;0,"Yes","No")</f>
        <v>No</v>
      </c>
      <c r="T115" s="2" t="s">
        <v>874</v>
      </c>
      <c r="U115" s="2"/>
      <c r="V115" s="2"/>
      <c r="W115" s="2"/>
      <c r="X115" s="2" t="s">
        <v>875</v>
      </c>
      <c r="Y115" s="2" t="s">
        <v>876</v>
      </c>
      <c r="Z115" s="2"/>
      <c r="AA115" s="2"/>
      <c r="AB115" s="2"/>
      <c r="AC115" s="2"/>
      <c r="AD115" s="2"/>
      <c r="AE115" s="2"/>
      <c r="AF115" s="2" t="s">
        <v>45</v>
      </c>
      <c r="AG115" s="2" t="s">
        <v>45</v>
      </c>
      <c r="AH115" s="2" t="s">
        <v>45</v>
      </c>
      <c r="AI115" s="2" t="n">
        <f aca="false">COUNTIF('Needs review'!$A:$A,B115)</f>
        <v>0</v>
      </c>
    </row>
    <row r="116" customFormat="false" ht="15" hidden="false" customHeight="false" outlineLevel="0" collapsed="false">
      <c r="A116" s="2" t="s">
        <v>877</v>
      </c>
      <c r="B116" s="2" t="s">
        <v>878</v>
      </c>
      <c r="C116" s="2" t="s">
        <v>548</v>
      </c>
      <c r="D116" s="2" t="s">
        <v>812</v>
      </c>
      <c r="E116" s="2" t="s">
        <v>39</v>
      </c>
      <c r="F116" s="2" t="s">
        <v>40</v>
      </c>
      <c r="G116" s="2" t="s">
        <v>879</v>
      </c>
      <c r="H116" s="2"/>
      <c r="I116" s="3" t="n">
        <v>3</v>
      </c>
      <c r="J116" s="2" t="n">
        <v>2</v>
      </c>
      <c r="K116" s="4" t="n">
        <v>1493</v>
      </c>
      <c r="L116" s="5" t="n">
        <v>26.67</v>
      </c>
      <c r="M116" s="5" t="n">
        <v>56</v>
      </c>
      <c r="N116" s="2" t="s">
        <v>65</v>
      </c>
      <c r="O116" s="2" t="s">
        <v>703</v>
      </c>
      <c r="P116" s="6" t="s">
        <v>45</v>
      </c>
      <c r="Q116" s="2"/>
      <c r="R116" s="7"/>
      <c r="S116" s="2" t="str">
        <f aca="false">IF(COUNTA(U116:W116)&gt;0,"Yes","No")</f>
        <v>No</v>
      </c>
      <c r="T116" s="2" t="s">
        <v>880</v>
      </c>
      <c r="U116" s="2"/>
      <c r="V116" s="2"/>
      <c r="W116" s="2"/>
      <c r="X116" s="2" t="s">
        <v>881</v>
      </c>
      <c r="Y116" s="2" t="s">
        <v>882</v>
      </c>
      <c r="Z116" s="2"/>
      <c r="AA116" s="2"/>
      <c r="AB116" s="2"/>
      <c r="AC116" s="2"/>
      <c r="AD116" s="2"/>
      <c r="AE116" s="2"/>
      <c r="AF116" s="2" t="s">
        <v>45</v>
      </c>
      <c r="AG116" s="2" t="s">
        <v>45</v>
      </c>
      <c r="AH116" s="2" t="s">
        <v>45</v>
      </c>
      <c r="AI116" s="2" t="n">
        <f aca="false">COUNTIF('Needs review'!$A:$A,B116)</f>
        <v>0</v>
      </c>
    </row>
    <row r="117" customFormat="false" ht="15" hidden="false" customHeight="false" outlineLevel="0" collapsed="false">
      <c r="A117" s="2" t="s">
        <v>883</v>
      </c>
      <c r="B117" s="2" t="s">
        <v>884</v>
      </c>
      <c r="C117" s="2" t="s">
        <v>548</v>
      </c>
      <c r="D117" s="2" t="s">
        <v>812</v>
      </c>
      <c r="E117" s="2" t="s">
        <v>39</v>
      </c>
      <c r="F117" s="2" t="s">
        <v>40</v>
      </c>
      <c r="G117" s="2" t="s">
        <v>885</v>
      </c>
      <c r="H117" s="2"/>
      <c r="I117" s="3" t="n">
        <v>3</v>
      </c>
      <c r="J117" s="2" t="n">
        <v>2</v>
      </c>
      <c r="K117" s="4" t="n">
        <v>1493</v>
      </c>
      <c r="L117" s="5" t="n">
        <v>26.67</v>
      </c>
      <c r="M117" s="5" t="n">
        <v>56</v>
      </c>
      <c r="N117" s="2" t="s">
        <v>65</v>
      </c>
      <c r="O117" s="2" t="s">
        <v>703</v>
      </c>
      <c r="P117" s="6" t="s">
        <v>45</v>
      </c>
      <c r="Q117" s="2"/>
      <c r="R117" s="7"/>
      <c r="S117" s="2" t="str">
        <f aca="false">IF(COUNTA(U117:W117)&gt;0,"Yes","No")</f>
        <v>No</v>
      </c>
      <c r="T117" s="2" t="s">
        <v>886</v>
      </c>
      <c r="U117" s="2"/>
      <c r="V117" s="2"/>
      <c r="W117" s="2"/>
      <c r="X117" s="2" t="s">
        <v>887</v>
      </c>
      <c r="Y117" s="2" t="s">
        <v>888</v>
      </c>
      <c r="Z117" s="2"/>
      <c r="AA117" s="2"/>
      <c r="AB117" s="2"/>
      <c r="AC117" s="2"/>
      <c r="AD117" s="2"/>
      <c r="AE117" s="2"/>
      <c r="AF117" s="2" t="s">
        <v>45</v>
      </c>
      <c r="AG117" s="2" t="s">
        <v>45</v>
      </c>
      <c r="AH117" s="2" t="s">
        <v>45</v>
      </c>
      <c r="AI117" s="2" t="n">
        <f aca="false">COUNTIF('Needs review'!$A:$A,B117)</f>
        <v>0</v>
      </c>
    </row>
    <row r="118" customFormat="false" ht="15" hidden="false" customHeight="false" outlineLevel="0" collapsed="false">
      <c r="A118" s="2" t="s">
        <v>889</v>
      </c>
      <c r="B118" s="2" t="s">
        <v>890</v>
      </c>
      <c r="C118" s="2" t="s">
        <v>548</v>
      </c>
      <c r="D118" s="2" t="s">
        <v>812</v>
      </c>
      <c r="E118" s="2" t="s">
        <v>39</v>
      </c>
      <c r="F118" s="2" t="s">
        <v>40</v>
      </c>
      <c r="G118" s="2" t="s">
        <v>891</v>
      </c>
      <c r="H118" s="2"/>
      <c r="I118" s="3" t="n">
        <v>3</v>
      </c>
      <c r="J118" s="2" t="n">
        <v>2</v>
      </c>
      <c r="K118" s="4" t="n">
        <v>1493</v>
      </c>
      <c r="L118" s="5" t="n">
        <v>26.67</v>
      </c>
      <c r="M118" s="5" t="n">
        <v>56</v>
      </c>
      <c r="N118" s="2" t="s">
        <v>65</v>
      </c>
      <c r="O118" s="2" t="s">
        <v>703</v>
      </c>
      <c r="P118" s="6" t="s">
        <v>45</v>
      </c>
      <c r="Q118" s="2"/>
      <c r="R118" s="7"/>
      <c r="S118" s="2" t="str">
        <f aca="false">IF(COUNTA(U118:W118)&gt;0,"Yes","No")</f>
        <v>No</v>
      </c>
      <c r="T118" s="2" t="s">
        <v>892</v>
      </c>
      <c r="U118" s="2"/>
      <c r="V118" s="2"/>
      <c r="W118" s="2"/>
      <c r="X118" s="2" t="s">
        <v>893</v>
      </c>
      <c r="Y118" s="2" t="s">
        <v>894</v>
      </c>
      <c r="Z118" s="2"/>
      <c r="AA118" s="2"/>
      <c r="AB118" s="2"/>
      <c r="AC118" s="2"/>
      <c r="AD118" s="2"/>
      <c r="AE118" s="2"/>
      <c r="AF118" s="2" t="s">
        <v>45</v>
      </c>
      <c r="AG118" s="2" t="s">
        <v>45</v>
      </c>
      <c r="AH118" s="2" t="s">
        <v>45</v>
      </c>
      <c r="AI118" s="2" t="n">
        <f aca="false">COUNTIF('Needs review'!$A:$A,B118)</f>
        <v>0</v>
      </c>
    </row>
    <row r="119" customFormat="false" ht="15" hidden="false" customHeight="false" outlineLevel="0" collapsed="false">
      <c r="A119" s="2" t="s">
        <v>895</v>
      </c>
      <c r="B119" s="2" t="s">
        <v>896</v>
      </c>
      <c r="C119" s="2" t="s">
        <v>548</v>
      </c>
      <c r="D119" s="2" t="s">
        <v>812</v>
      </c>
      <c r="E119" s="2" t="s">
        <v>39</v>
      </c>
      <c r="F119" s="2" t="s">
        <v>40</v>
      </c>
      <c r="G119" s="2" t="s">
        <v>897</v>
      </c>
      <c r="H119" s="2"/>
      <c r="I119" s="3" t="n">
        <v>3</v>
      </c>
      <c r="J119" s="2" t="n">
        <v>2</v>
      </c>
      <c r="K119" s="4" t="n">
        <v>1600</v>
      </c>
      <c r="L119" s="5" t="n">
        <v>26.67</v>
      </c>
      <c r="M119" s="5" t="n">
        <v>60</v>
      </c>
      <c r="N119" s="2" t="s">
        <v>65</v>
      </c>
      <c r="O119" s="2" t="s">
        <v>741</v>
      </c>
      <c r="P119" s="6" t="s">
        <v>45</v>
      </c>
      <c r="Q119" s="2"/>
      <c r="R119" s="7"/>
      <c r="S119" s="2" t="str">
        <f aca="false">IF(COUNTA(U119:W119)&gt;0,"Yes","No")</f>
        <v>No</v>
      </c>
      <c r="T119" s="2" t="s">
        <v>898</v>
      </c>
      <c r="U119" s="2"/>
      <c r="V119" s="2"/>
      <c r="W119" s="2"/>
      <c r="X119" s="2" t="s">
        <v>899</v>
      </c>
      <c r="Y119" s="2" t="s">
        <v>900</v>
      </c>
      <c r="Z119" s="2"/>
      <c r="AA119" s="2"/>
      <c r="AB119" s="2"/>
      <c r="AC119" s="2"/>
      <c r="AD119" s="2"/>
      <c r="AE119" s="2"/>
      <c r="AF119" s="2" t="s">
        <v>45</v>
      </c>
      <c r="AG119" s="2" t="s">
        <v>45</v>
      </c>
      <c r="AH119" s="2" t="s">
        <v>45</v>
      </c>
      <c r="AI119" s="2" t="n">
        <f aca="false">COUNTIF('Needs review'!$A:$A,B119)</f>
        <v>0</v>
      </c>
    </row>
    <row r="120" customFormat="false" ht="15" hidden="false" customHeight="false" outlineLevel="0" collapsed="false">
      <c r="A120" s="2" t="s">
        <v>901</v>
      </c>
      <c r="B120" s="2" t="s">
        <v>902</v>
      </c>
      <c r="C120" s="2" t="s">
        <v>548</v>
      </c>
      <c r="D120" s="2" t="s">
        <v>812</v>
      </c>
      <c r="E120" s="2" t="s">
        <v>39</v>
      </c>
      <c r="F120" s="2" t="s">
        <v>40</v>
      </c>
      <c r="G120" s="2" t="s">
        <v>903</v>
      </c>
      <c r="H120" s="2"/>
      <c r="I120" s="3" t="n">
        <v>3</v>
      </c>
      <c r="J120" s="2" t="n">
        <v>2</v>
      </c>
      <c r="K120" s="4" t="n">
        <v>1600</v>
      </c>
      <c r="L120" s="5" t="n">
        <v>26.67</v>
      </c>
      <c r="M120" s="5" t="n">
        <v>60</v>
      </c>
      <c r="N120" s="2" t="s">
        <v>65</v>
      </c>
      <c r="O120" s="2" t="s">
        <v>741</v>
      </c>
      <c r="P120" s="6" t="s">
        <v>45</v>
      </c>
      <c r="Q120" s="2"/>
      <c r="R120" s="7"/>
      <c r="S120" s="2" t="str">
        <f aca="false">IF(COUNTA(U120:W120)&gt;0,"Yes","No")</f>
        <v>No</v>
      </c>
      <c r="T120" s="2" t="s">
        <v>904</v>
      </c>
      <c r="U120" s="2"/>
      <c r="V120" s="2"/>
      <c r="W120" s="2"/>
      <c r="X120" s="2" t="s">
        <v>905</v>
      </c>
      <c r="Y120" s="2" t="s">
        <v>906</v>
      </c>
      <c r="Z120" s="2"/>
      <c r="AA120" s="2"/>
      <c r="AB120" s="2"/>
      <c r="AC120" s="2"/>
      <c r="AD120" s="2"/>
      <c r="AE120" s="2"/>
      <c r="AF120" s="2" t="s">
        <v>45</v>
      </c>
      <c r="AG120" s="2" t="s">
        <v>45</v>
      </c>
      <c r="AH120" s="2" t="s">
        <v>45</v>
      </c>
      <c r="AI120" s="2" t="n">
        <f aca="false">COUNTIF('Needs review'!$A:$A,B120)</f>
        <v>0</v>
      </c>
    </row>
    <row r="121" customFormat="false" ht="15" hidden="false" customHeight="false" outlineLevel="0" collapsed="false">
      <c r="A121" s="2" t="s">
        <v>907</v>
      </c>
      <c r="B121" s="2" t="s">
        <v>908</v>
      </c>
      <c r="C121" s="2" t="s">
        <v>548</v>
      </c>
      <c r="D121" s="2" t="s">
        <v>812</v>
      </c>
      <c r="E121" s="2" t="s">
        <v>39</v>
      </c>
      <c r="F121" s="2" t="s">
        <v>40</v>
      </c>
      <c r="G121" s="2" t="s">
        <v>909</v>
      </c>
      <c r="H121" s="2"/>
      <c r="I121" s="3" t="n">
        <v>4</v>
      </c>
      <c r="J121" s="2" t="n">
        <v>2</v>
      </c>
      <c r="K121" s="4" t="n">
        <v>1814</v>
      </c>
      <c r="L121" s="5" t="n">
        <v>26.67</v>
      </c>
      <c r="M121" s="5" t="n">
        <v>68</v>
      </c>
      <c r="N121" s="2" t="s">
        <v>65</v>
      </c>
      <c r="O121" s="2" t="s">
        <v>756</v>
      </c>
      <c r="P121" s="6" t="s">
        <v>45</v>
      </c>
      <c r="Q121" s="2"/>
      <c r="R121" s="7"/>
      <c r="S121" s="2" t="str">
        <f aca="false">IF(COUNTA(U121:W121)&gt;0,"Yes","No")</f>
        <v>No</v>
      </c>
      <c r="T121" s="2" t="s">
        <v>910</v>
      </c>
      <c r="U121" s="2"/>
      <c r="V121" s="2"/>
      <c r="W121" s="2"/>
      <c r="X121" s="2" t="s">
        <v>911</v>
      </c>
      <c r="Y121" s="2" t="s">
        <v>912</v>
      </c>
      <c r="Z121" s="2"/>
      <c r="AA121" s="2"/>
      <c r="AB121" s="2"/>
      <c r="AC121" s="2"/>
      <c r="AD121" s="2"/>
      <c r="AE121" s="2"/>
      <c r="AF121" s="2" t="s">
        <v>45</v>
      </c>
      <c r="AG121" s="2" t="s">
        <v>45</v>
      </c>
      <c r="AH121" s="2" t="s">
        <v>45</v>
      </c>
      <c r="AI121" s="2" t="n">
        <f aca="false">COUNTIF('Needs review'!$A:$A,B121)</f>
        <v>0</v>
      </c>
    </row>
    <row r="122" customFormat="false" ht="15" hidden="false" customHeight="false" outlineLevel="0" collapsed="false">
      <c r="A122" s="2" t="s">
        <v>913</v>
      </c>
      <c r="B122" s="2" t="s">
        <v>914</v>
      </c>
      <c r="C122" s="2" t="s">
        <v>548</v>
      </c>
      <c r="D122" s="2" t="s">
        <v>812</v>
      </c>
      <c r="E122" s="2" t="s">
        <v>39</v>
      </c>
      <c r="F122" s="2" t="s">
        <v>40</v>
      </c>
      <c r="G122" s="2" t="s">
        <v>915</v>
      </c>
      <c r="H122" s="2"/>
      <c r="I122" s="3" t="n">
        <v>4</v>
      </c>
      <c r="J122" s="2" t="n">
        <v>2</v>
      </c>
      <c r="K122" s="4" t="n">
        <v>1920</v>
      </c>
      <c r="L122" s="5" t="n">
        <v>26.67</v>
      </c>
      <c r="M122" s="5" t="n">
        <v>72</v>
      </c>
      <c r="N122" s="2" t="s">
        <v>65</v>
      </c>
      <c r="O122" s="2" t="s">
        <v>916</v>
      </c>
      <c r="P122" s="6" t="s">
        <v>45</v>
      </c>
      <c r="Q122" s="2"/>
      <c r="R122" s="7"/>
      <c r="S122" s="2" t="str">
        <f aca="false">IF(COUNTA(U122:W122)&gt;0,"Yes","No")</f>
        <v>No</v>
      </c>
      <c r="T122" s="2" t="s">
        <v>917</v>
      </c>
      <c r="U122" s="2"/>
      <c r="V122" s="2"/>
      <c r="W122" s="2"/>
      <c r="X122" s="2" t="s">
        <v>918</v>
      </c>
      <c r="Y122" s="2" t="s">
        <v>919</v>
      </c>
      <c r="Z122" s="2"/>
      <c r="AA122" s="2"/>
      <c r="AB122" s="2"/>
      <c r="AC122" s="2"/>
      <c r="AD122" s="2"/>
      <c r="AE122" s="2"/>
      <c r="AF122" s="2" t="s">
        <v>45</v>
      </c>
      <c r="AG122" s="2" t="s">
        <v>45</v>
      </c>
      <c r="AH122" s="2" t="s">
        <v>45</v>
      </c>
      <c r="AI122" s="2" t="n">
        <f aca="false">COUNTIF('Needs review'!$A:$A,B122)</f>
        <v>0</v>
      </c>
    </row>
    <row r="123" customFormat="false" ht="15" hidden="false" customHeight="false" outlineLevel="0" collapsed="false">
      <c r="A123" s="2" t="s">
        <v>920</v>
      </c>
      <c r="B123" s="2" t="s">
        <v>921</v>
      </c>
      <c r="C123" s="2" t="s">
        <v>548</v>
      </c>
      <c r="D123" s="2" t="s">
        <v>812</v>
      </c>
      <c r="E123" s="2" t="s">
        <v>39</v>
      </c>
      <c r="F123" s="2" t="s">
        <v>40</v>
      </c>
      <c r="G123" s="2" t="s">
        <v>922</v>
      </c>
      <c r="H123" s="2"/>
      <c r="I123" s="3" t="n">
        <v>4</v>
      </c>
      <c r="J123" s="2" t="n">
        <v>2</v>
      </c>
      <c r="K123" s="4" t="n">
        <v>2100</v>
      </c>
      <c r="L123" s="5" t="n">
        <v>30</v>
      </c>
      <c r="M123" s="5" t="n">
        <v>70</v>
      </c>
      <c r="N123" s="2" t="s">
        <v>65</v>
      </c>
      <c r="O123" s="2" t="s">
        <v>769</v>
      </c>
      <c r="P123" s="6" t="s">
        <v>45</v>
      </c>
      <c r="Q123" s="2"/>
      <c r="R123" s="7"/>
      <c r="S123" s="2" t="str">
        <f aca="false">IF(COUNTA(U123:W123)&gt;0,"Yes","No")</f>
        <v>No</v>
      </c>
      <c r="T123" s="2" t="s">
        <v>923</v>
      </c>
      <c r="U123" s="2"/>
      <c r="V123" s="2"/>
      <c r="W123" s="2"/>
      <c r="X123" s="2" t="s">
        <v>924</v>
      </c>
      <c r="Y123" s="2" t="s">
        <v>924</v>
      </c>
      <c r="Z123" s="2"/>
      <c r="AA123" s="2"/>
      <c r="AB123" s="2"/>
      <c r="AC123" s="2"/>
      <c r="AD123" s="2"/>
      <c r="AE123" s="2"/>
      <c r="AF123" s="2" t="s">
        <v>45</v>
      </c>
      <c r="AG123" s="2" t="s">
        <v>45</v>
      </c>
      <c r="AH123" s="2" t="s">
        <v>45</v>
      </c>
      <c r="AI123" s="2" t="n">
        <f aca="false">COUNTIF('Needs review'!$A:$A,B123)</f>
        <v>0</v>
      </c>
    </row>
    <row r="124" customFormat="false" ht="15" hidden="false" customHeight="false" outlineLevel="0" collapsed="false">
      <c r="A124" s="2" t="s">
        <v>925</v>
      </c>
      <c r="B124" s="2" t="s">
        <v>926</v>
      </c>
      <c r="C124" s="2" t="s">
        <v>548</v>
      </c>
      <c r="D124" s="2" t="s">
        <v>927</v>
      </c>
      <c r="E124" s="2" t="s">
        <v>39</v>
      </c>
      <c r="F124" s="2" t="s">
        <v>40</v>
      </c>
      <c r="G124" s="2" t="s">
        <v>928</v>
      </c>
      <c r="H124" s="2"/>
      <c r="I124" s="3" t="n">
        <v>3</v>
      </c>
      <c r="J124" s="2" t="n">
        <v>2</v>
      </c>
      <c r="K124" s="4" t="n">
        <v>1280</v>
      </c>
      <c r="L124" s="5" t="n">
        <v>26.67</v>
      </c>
      <c r="M124" s="5" t="n">
        <v>48</v>
      </c>
      <c r="N124" s="2" t="s">
        <v>65</v>
      </c>
      <c r="O124" s="2" t="s">
        <v>665</v>
      </c>
      <c r="P124" s="6" t="s">
        <v>45</v>
      </c>
      <c r="Q124" s="2"/>
      <c r="R124" s="7"/>
      <c r="S124" s="2" t="str">
        <f aca="false">IF(COUNTA(U124:W124)&gt;0,"Yes","No")</f>
        <v>No</v>
      </c>
      <c r="T124" s="2" t="s">
        <v>929</v>
      </c>
      <c r="U124" s="2"/>
      <c r="V124" s="2"/>
      <c r="W124" s="2"/>
      <c r="X124" s="2" t="s">
        <v>930</v>
      </c>
      <c r="Y124" s="2" t="s">
        <v>931</v>
      </c>
      <c r="Z124" s="2" t="s">
        <v>932</v>
      </c>
      <c r="AA124" s="2"/>
      <c r="AB124" s="2"/>
      <c r="AC124" s="2"/>
      <c r="AD124" s="2"/>
      <c r="AE124" s="2"/>
      <c r="AF124" s="2" t="s">
        <v>45</v>
      </c>
      <c r="AG124" s="2" t="s">
        <v>45</v>
      </c>
      <c r="AH124" s="2" t="s">
        <v>45</v>
      </c>
      <c r="AI124" s="2" t="n">
        <f aca="false">COUNTIF('Needs review'!$A:$A,B124)</f>
        <v>0</v>
      </c>
    </row>
    <row r="125" customFormat="false" ht="15" hidden="false" customHeight="false" outlineLevel="0" collapsed="false">
      <c r="A125" s="2" t="s">
        <v>933</v>
      </c>
      <c r="B125" s="2" t="s">
        <v>934</v>
      </c>
      <c r="C125" s="2" t="s">
        <v>548</v>
      </c>
      <c r="D125" s="2" t="s">
        <v>927</v>
      </c>
      <c r="E125" s="2" t="s">
        <v>39</v>
      </c>
      <c r="F125" s="2" t="s">
        <v>40</v>
      </c>
      <c r="G125" s="2" t="s">
        <v>935</v>
      </c>
      <c r="H125" s="2"/>
      <c r="I125" s="3" t="n">
        <v>3</v>
      </c>
      <c r="J125" s="2" t="n">
        <v>2</v>
      </c>
      <c r="K125" s="4" t="n">
        <v>1387</v>
      </c>
      <c r="L125" s="5" t="n">
        <v>26.67</v>
      </c>
      <c r="M125" s="5" t="n">
        <v>52</v>
      </c>
      <c r="N125" s="2" t="s">
        <v>65</v>
      </c>
      <c r="O125" s="2" t="s">
        <v>936</v>
      </c>
      <c r="P125" s="6" t="s">
        <v>45</v>
      </c>
      <c r="Q125" s="2"/>
      <c r="R125" s="7"/>
      <c r="S125" s="2" t="str">
        <f aca="false">IF(COUNTA(U125:W125)&gt;0,"Yes","No")</f>
        <v>Yes</v>
      </c>
      <c r="T125" s="2" t="s">
        <v>937</v>
      </c>
      <c r="U125" s="2"/>
      <c r="V125" s="2" t="s">
        <v>938</v>
      </c>
      <c r="W125" s="2"/>
      <c r="X125" s="2" t="s">
        <v>939</v>
      </c>
      <c r="Y125" s="2" t="s">
        <v>940</v>
      </c>
      <c r="Z125" s="2" t="s">
        <v>941</v>
      </c>
      <c r="AA125" s="2"/>
      <c r="AB125" s="2"/>
      <c r="AC125" s="2"/>
      <c r="AD125" s="2"/>
      <c r="AE125" s="2"/>
      <c r="AF125" s="2" t="s">
        <v>45</v>
      </c>
      <c r="AG125" s="2" t="s">
        <v>45</v>
      </c>
      <c r="AH125" s="2" t="s">
        <v>45</v>
      </c>
      <c r="AI125" s="2" t="n">
        <f aca="false">COUNTIF('Needs review'!$A:$A,B125)</f>
        <v>1</v>
      </c>
    </row>
    <row r="126" customFormat="false" ht="15" hidden="false" customHeight="false" outlineLevel="0" collapsed="false">
      <c r="A126" s="2" t="s">
        <v>942</v>
      </c>
      <c r="B126" s="2" t="s">
        <v>943</v>
      </c>
      <c r="C126" s="2" t="s">
        <v>548</v>
      </c>
      <c r="D126" s="2" t="s">
        <v>927</v>
      </c>
      <c r="E126" s="2" t="s">
        <v>39</v>
      </c>
      <c r="F126" s="2" t="s">
        <v>40</v>
      </c>
      <c r="G126" s="2" t="s">
        <v>944</v>
      </c>
      <c r="H126" s="2"/>
      <c r="I126" s="3" t="n">
        <v>3</v>
      </c>
      <c r="J126" s="2" t="n">
        <v>2</v>
      </c>
      <c r="K126" s="4" t="n">
        <v>1599</v>
      </c>
      <c r="L126" s="5" t="n">
        <v>26.67</v>
      </c>
      <c r="M126" s="5" t="n">
        <v>60</v>
      </c>
      <c r="N126" s="2" t="s">
        <v>65</v>
      </c>
      <c r="O126" s="2" t="s">
        <v>741</v>
      </c>
      <c r="P126" s="6" t="s">
        <v>45</v>
      </c>
      <c r="Q126" s="2"/>
      <c r="R126" s="7"/>
      <c r="S126" s="2" t="str">
        <f aca="false">IF(COUNTA(U126:W126)&gt;0,"Yes","No")</f>
        <v>No</v>
      </c>
      <c r="T126" s="2" t="s">
        <v>945</v>
      </c>
      <c r="U126" s="2"/>
      <c r="V126" s="2"/>
      <c r="W126" s="2"/>
      <c r="X126" s="2" t="s">
        <v>946</v>
      </c>
      <c r="Y126" s="2" t="s">
        <v>947</v>
      </c>
      <c r="Z126" s="2" t="s">
        <v>948</v>
      </c>
      <c r="AA126" s="2"/>
      <c r="AB126" s="2"/>
      <c r="AC126" s="2"/>
      <c r="AD126" s="2"/>
      <c r="AE126" s="2"/>
      <c r="AF126" s="2" t="s">
        <v>45</v>
      </c>
      <c r="AG126" s="2" t="s">
        <v>45</v>
      </c>
      <c r="AH126" s="2" t="s">
        <v>45</v>
      </c>
      <c r="AI126" s="2" t="n">
        <f aca="false">COUNTIF('Needs review'!$A:$A,B126)</f>
        <v>0</v>
      </c>
    </row>
    <row r="127" customFormat="false" ht="15" hidden="false" customHeight="false" outlineLevel="0" collapsed="false">
      <c r="A127" s="2" t="s">
        <v>949</v>
      </c>
      <c r="B127" s="2" t="s">
        <v>950</v>
      </c>
      <c r="C127" s="2" t="s">
        <v>548</v>
      </c>
      <c r="D127" s="2" t="s">
        <v>927</v>
      </c>
      <c r="E127" s="2" t="s">
        <v>39</v>
      </c>
      <c r="F127" s="2" t="s">
        <v>40</v>
      </c>
      <c r="G127" s="2" t="s">
        <v>951</v>
      </c>
      <c r="H127" s="2"/>
      <c r="I127" s="3" t="n">
        <v>3</v>
      </c>
      <c r="J127" s="2" t="n">
        <v>2</v>
      </c>
      <c r="K127" s="4" t="n">
        <v>1792</v>
      </c>
      <c r="L127" s="5" t="n">
        <v>26.67</v>
      </c>
      <c r="M127" s="5" t="n">
        <v>68</v>
      </c>
      <c r="N127" s="2" t="s">
        <v>65</v>
      </c>
      <c r="O127" s="2" t="s">
        <v>756</v>
      </c>
      <c r="P127" s="6" t="s">
        <v>45</v>
      </c>
      <c r="Q127" s="2"/>
      <c r="R127" s="7"/>
      <c r="S127" s="2" t="str">
        <f aca="false">IF(COUNTA(U127:W127)&gt;0,"Yes","No")</f>
        <v>No</v>
      </c>
      <c r="T127" s="2" t="s">
        <v>952</v>
      </c>
      <c r="U127" s="2"/>
      <c r="V127" s="2"/>
      <c r="W127" s="2"/>
      <c r="X127" s="2" t="s">
        <v>953</v>
      </c>
      <c r="Y127" s="2" t="s">
        <v>954</v>
      </c>
      <c r="Z127" s="2" t="s">
        <v>955</v>
      </c>
      <c r="AA127" s="2"/>
      <c r="AB127" s="2"/>
      <c r="AC127" s="2"/>
      <c r="AD127" s="2"/>
      <c r="AE127" s="2"/>
      <c r="AF127" s="2" t="s">
        <v>45</v>
      </c>
      <c r="AG127" s="2" t="s">
        <v>45</v>
      </c>
      <c r="AH127" s="2" t="s">
        <v>45</v>
      </c>
      <c r="AI127" s="2" t="n">
        <f aca="false">COUNTIF('Needs review'!$A:$A,B127)</f>
        <v>0</v>
      </c>
    </row>
    <row r="128" customFormat="false" ht="15" hidden="false" customHeight="false" outlineLevel="0" collapsed="false">
      <c r="A128" s="2" t="s">
        <v>956</v>
      </c>
      <c r="B128" s="2" t="s">
        <v>957</v>
      </c>
      <c r="C128" s="2" t="s">
        <v>548</v>
      </c>
      <c r="D128" s="2" t="s">
        <v>927</v>
      </c>
      <c r="E128" s="2" t="s">
        <v>39</v>
      </c>
      <c r="F128" s="2" t="s">
        <v>40</v>
      </c>
      <c r="G128" s="2" t="s">
        <v>958</v>
      </c>
      <c r="H128" s="2"/>
      <c r="I128" s="3" t="n">
        <v>3</v>
      </c>
      <c r="J128" s="2" t="n">
        <v>2</v>
      </c>
      <c r="K128" s="4" t="n">
        <v>1867</v>
      </c>
      <c r="L128" s="5" t="n">
        <v>26.67</v>
      </c>
      <c r="M128" s="5" t="n">
        <v>70</v>
      </c>
      <c r="N128" s="2" t="s">
        <v>65</v>
      </c>
      <c r="O128" s="2" t="s">
        <v>959</v>
      </c>
      <c r="P128" s="6" t="s">
        <v>45</v>
      </c>
      <c r="Q128" s="2"/>
      <c r="R128" s="7"/>
      <c r="S128" s="2" t="str">
        <f aca="false">IF(COUNTA(U128:W128)&gt;0,"Yes","No")</f>
        <v>Yes</v>
      </c>
      <c r="T128" s="2" t="s">
        <v>960</v>
      </c>
      <c r="U128" s="2"/>
      <c r="V128" s="2" t="s">
        <v>961</v>
      </c>
      <c r="W128" s="2"/>
      <c r="X128" s="2" t="s">
        <v>962</v>
      </c>
      <c r="Y128" s="2" t="s">
        <v>963</v>
      </c>
      <c r="Z128" s="2" t="s">
        <v>964</v>
      </c>
      <c r="AA128" s="2"/>
      <c r="AB128" s="2"/>
      <c r="AC128" s="2"/>
      <c r="AD128" s="2"/>
      <c r="AE128" s="2"/>
      <c r="AF128" s="2" t="s">
        <v>45</v>
      </c>
      <c r="AG128" s="2" t="s">
        <v>45</v>
      </c>
      <c r="AH128" s="2" t="s">
        <v>45</v>
      </c>
      <c r="AI128" s="2" t="n">
        <f aca="false">COUNTIF('Needs review'!$A:$A,B128)</f>
        <v>0</v>
      </c>
    </row>
    <row r="129" customFormat="false" ht="15" hidden="false" customHeight="false" outlineLevel="0" collapsed="false">
      <c r="A129" s="2" t="s">
        <v>965</v>
      </c>
      <c r="B129" s="2" t="s">
        <v>966</v>
      </c>
      <c r="C129" s="2" t="s">
        <v>548</v>
      </c>
      <c r="D129" s="2" t="s">
        <v>927</v>
      </c>
      <c r="E129" s="2" t="s">
        <v>39</v>
      </c>
      <c r="F129" s="2" t="s">
        <v>40</v>
      </c>
      <c r="G129" s="2" t="s">
        <v>967</v>
      </c>
      <c r="H129" s="2"/>
      <c r="I129" s="3" t="n">
        <v>3</v>
      </c>
      <c r="J129" s="2" t="n">
        <v>2</v>
      </c>
      <c r="K129" s="4" t="n">
        <v>1944</v>
      </c>
      <c r="L129" s="5" t="n">
        <v>30</v>
      </c>
      <c r="M129" s="5" t="n">
        <v>70</v>
      </c>
      <c r="N129" s="2" t="s">
        <v>65</v>
      </c>
      <c r="O129" s="2" t="s">
        <v>769</v>
      </c>
      <c r="P129" s="6" t="s">
        <v>45</v>
      </c>
      <c r="Q129" s="2"/>
      <c r="R129" s="7"/>
      <c r="S129" s="2" t="str">
        <f aca="false">IF(COUNTA(U129:W129)&gt;0,"Yes","No")</f>
        <v>No</v>
      </c>
      <c r="T129" s="2" t="s">
        <v>968</v>
      </c>
      <c r="U129" s="2"/>
      <c r="V129" s="2"/>
      <c r="W129" s="2"/>
      <c r="X129" s="2" t="s">
        <v>969</v>
      </c>
      <c r="Y129" s="2" t="s">
        <v>970</v>
      </c>
      <c r="Z129" s="2" t="s">
        <v>971</v>
      </c>
      <c r="AA129" s="2"/>
      <c r="AB129" s="2"/>
      <c r="AC129" s="2"/>
      <c r="AD129" s="2"/>
      <c r="AE129" s="2"/>
      <c r="AF129" s="2" t="s">
        <v>45</v>
      </c>
      <c r="AG129" s="2" t="s">
        <v>45</v>
      </c>
      <c r="AH129" s="2" t="s">
        <v>45</v>
      </c>
      <c r="AI129" s="2" t="n">
        <f aca="false">COUNTIF('Needs review'!$A:$A,B129)</f>
        <v>0</v>
      </c>
    </row>
    <row r="130" customFormat="false" ht="15" hidden="false" customHeight="false" outlineLevel="0" collapsed="false">
      <c r="A130" s="2" t="s">
        <v>972</v>
      </c>
      <c r="B130" s="2" t="s">
        <v>973</v>
      </c>
      <c r="C130" s="2" t="s">
        <v>548</v>
      </c>
      <c r="D130" s="2" t="s">
        <v>927</v>
      </c>
      <c r="E130" s="2" t="s">
        <v>39</v>
      </c>
      <c r="F130" s="2" t="s">
        <v>40</v>
      </c>
      <c r="G130" s="2" t="s">
        <v>974</v>
      </c>
      <c r="H130" s="2"/>
      <c r="I130" s="3" t="n">
        <v>3</v>
      </c>
      <c r="J130" s="2" t="n">
        <v>2</v>
      </c>
      <c r="K130" s="4" t="n">
        <v>1980</v>
      </c>
      <c r="L130" s="5" t="n">
        <v>30</v>
      </c>
      <c r="M130" s="5" t="n">
        <v>66</v>
      </c>
      <c r="N130" s="2" t="s">
        <v>65</v>
      </c>
      <c r="O130" s="2" t="s">
        <v>975</v>
      </c>
      <c r="P130" s="6" t="s">
        <v>45</v>
      </c>
      <c r="Q130" s="2"/>
      <c r="R130" s="7"/>
      <c r="S130" s="2" t="str">
        <f aca="false">IF(COUNTA(U130:W130)&gt;0,"Yes","No")</f>
        <v>No</v>
      </c>
      <c r="T130" s="2" t="s">
        <v>976</v>
      </c>
      <c r="U130" s="2"/>
      <c r="V130" s="2"/>
      <c r="W130" s="2"/>
      <c r="X130" s="2" t="s">
        <v>977</v>
      </c>
      <c r="Y130" s="2" t="s">
        <v>978</v>
      </c>
      <c r="Z130" s="2" t="s">
        <v>979</v>
      </c>
      <c r="AA130" s="2"/>
      <c r="AB130" s="2"/>
      <c r="AC130" s="2"/>
      <c r="AD130" s="2"/>
      <c r="AE130" s="2"/>
      <c r="AF130" s="2" t="s">
        <v>45</v>
      </c>
      <c r="AG130" s="2" t="s">
        <v>45</v>
      </c>
      <c r="AH130" s="2" t="s">
        <v>45</v>
      </c>
      <c r="AI130" s="2" t="n">
        <f aca="false">COUNTIF('Needs review'!$A:$A,B130)</f>
        <v>0</v>
      </c>
    </row>
    <row r="131" customFormat="false" ht="15" hidden="false" customHeight="false" outlineLevel="0" collapsed="false">
      <c r="A131" s="2" t="s">
        <v>980</v>
      </c>
      <c r="B131" s="2" t="s">
        <v>981</v>
      </c>
      <c r="C131" s="2" t="s">
        <v>548</v>
      </c>
      <c r="D131" s="2" t="s">
        <v>927</v>
      </c>
      <c r="E131" s="2" t="s">
        <v>39</v>
      </c>
      <c r="F131" s="2" t="s">
        <v>40</v>
      </c>
      <c r="G131" s="2" t="s">
        <v>982</v>
      </c>
      <c r="H131" s="2"/>
      <c r="I131" s="3" t="n">
        <v>3</v>
      </c>
      <c r="J131" s="2" t="n">
        <v>2</v>
      </c>
      <c r="K131" s="4" t="n">
        <v>2240</v>
      </c>
      <c r="L131" s="5" t="n">
        <v>40</v>
      </c>
      <c r="M131" s="5" t="n">
        <v>56</v>
      </c>
      <c r="N131" s="2" t="s">
        <v>460</v>
      </c>
      <c r="O131" s="2" t="s">
        <v>983</v>
      </c>
      <c r="P131" s="6" t="s">
        <v>45</v>
      </c>
      <c r="Q131" s="2"/>
      <c r="R131" s="7"/>
      <c r="S131" s="2" t="str">
        <f aca="false">IF(COUNTA(U131:W131)&gt;0,"Yes","No")</f>
        <v>Yes</v>
      </c>
      <c r="T131" s="2" t="s">
        <v>984</v>
      </c>
      <c r="U131" s="2"/>
      <c r="V131" s="2" t="s">
        <v>985</v>
      </c>
      <c r="W131" s="2"/>
      <c r="X131" s="2" t="s">
        <v>986</v>
      </c>
      <c r="Y131" s="2" t="s">
        <v>987</v>
      </c>
      <c r="Z131" s="2" t="s">
        <v>988</v>
      </c>
      <c r="AA131" s="2"/>
      <c r="AB131" s="2"/>
      <c r="AC131" s="2"/>
      <c r="AD131" s="2"/>
      <c r="AE131" s="2"/>
      <c r="AF131" s="2" t="s">
        <v>45</v>
      </c>
      <c r="AG131" s="2" t="s">
        <v>45</v>
      </c>
      <c r="AH131" s="2" t="s">
        <v>45</v>
      </c>
      <c r="AI131" s="2" t="n">
        <f aca="false">COUNTIF('Needs review'!$A:$A,B131)</f>
        <v>1</v>
      </c>
    </row>
    <row r="132" customFormat="false" ht="15" hidden="false" customHeight="false" outlineLevel="0" collapsed="false">
      <c r="A132" s="2" t="s">
        <v>989</v>
      </c>
      <c r="B132" s="2" t="s">
        <v>990</v>
      </c>
      <c r="C132" s="2" t="s">
        <v>548</v>
      </c>
      <c r="D132" s="2" t="s">
        <v>927</v>
      </c>
      <c r="E132" s="2" t="s">
        <v>39</v>
      </c>
      <c r="F132" s="2" t="s">
        <v>40</v>
      </c>
      <c r="G132" s="2" t="s">
        <v>991</v>
      </c>
      <c r="H132" s="2"/>
      <c r="I132" s="3" t="n">
        <v>3</v>
      </c>
      <c r="J132" s="2" t="n">
        <v>2</v>
      </c>
      <c r="K132" s="4" t="n">
        <v>2293</v>
      </c>
      <c r="L132" s="5" t="n">
        <v>40</v>
      </c>
      <c r="M132" s="5" t="n">
        <v>57.33</v>
      </c>
      <c r="N132" s="2" t="s">
        <v>460</v>
      </c>
      <c r="O132" s="2" t="s">
        <v>992</v>
      </c>
      <c r="P132" s="6" t="s">
        <v>45</v>
      </c>
      <c r="Q132" s="2"/>
      <c r="R132" s="7"/>
      <c r="S132" s="2" t="str">
        <f aca="false">IF(COUNTA(U132:W132)&gt;0,"Yes","No")</f>
        <v>No</v>
      </c>
      <c r="T132" s="2" t="s">
        <v>993</v>
      </c>
      <c r="U132" s="2"/>
      <c r="V132" s="2"/>
      <c r="W132" s="2"/>
      <c r="X132" s="2" t="s">
        <v>994</v>
      </c>
      <c r="Y132" s="2" t="s">
        <v>995</v>
      </c>
      <c r="Z132" s="2" t="s">
        <v>996</v>
      </c>
      <c r="AA132" s="2"/>
      <c r="AB132" s="2"/>
      <c r="AC132" s="2"/>
      <c r="AD132" s="2"/>
      <c r="AE132" s="2"/>
      <c r="AF132" s="2" t="s">
        <v>45</v>
      </c>
      <c r="AG132" s="2" t="s">
        <v>45</v>
      </c>
      <c r="AH132" s="2" t="s">
        <v>45</v>
      </c>
      <c r="AI132" s="2" t="n">
        <f aca="false">COUNTIF('Needs review'!$A:$A,B132)</f>
        <v>0</v>
      </c>
    </row>
    <row r="133" customFormat="false" ht="15" hidden="false" customHeight="false" outlineLevel="0" collapsed="false">
      <c r="A133" s="2" t="s">
        <v>997</v>
      </c>
      <c r="B133" s="2" t="s">
        <v>998</v>
      </c>
      <c r="C133" s="2" t="s">
        <v>548</v>
      </c>
      <c r="D133" s="2" t="s">
        <v>927</v>
      </c>
      <c r="E133" s="2" t="s">
        <v>39</v>
      </c>
      <c r="F133" s="2" t="s">
        <v>40</v>
      </c>
      <c r="G133" s="2" t="s">
        <v>999</v>
      </c>
      <c r="H133" s="2"/>
      <c r="I133" s="3" t="n">
        <v>3</v>
      </c>
      <c r="J133" s="2" t="n">
        <v>3</v>
      </c>
      <c r="K133" s="4" t="n">
        <v>2560</v>
      </c>
      <c r="L133" s="5" t="n">
        <v>40</v>
      </c>
      <c r="M133" s="5" t="n">
        <v>64</v>
      </c>
      <c r="N133" s="2" t="s">
        <v>460</v>
      </c>
      <c r="O133" s="2" t="s">
        <v>1000</v>
      </c>
      <c r="P133" s="6" t="s">
        <v>45</v>
      </c>
      <c r="Q133" s="2"/>
      <c r="R133" s="7"/>
      <c r="S133" s="2" t="str">
        <f aca="false">IF(COUNTA(U133:W133)&gt;0,"Yes","No")</f>
        <v>Yes</v>
      </c>
      <c r="T133" s="2" t="s">
        <v>1001</v>
      </c>
      <c r="U133" s="2"/>
      <c r="V133" s="2" t="s">
        <v>1002</v>
      </c>
      <c r="W133" s="2"/>
      <c r="X133" s="2" t="s">
        <v>1003</v>
      </c>
      <c r="Y133" s="2" t="s">
        <v>1004</v>
      </c>
      <c r="Z133" s="2" t="s">
        <v>1005</v>
      </c>
      <c r="AA133" s="2"/>
      <c r="AB133" s="2"/>
      <c r="AC133" s="2"/>
      <c r="AD133" s="2"/>
      <c r="AE133" s="2"/>
      <c r="AF133" s="2" t="s">
        <v>45</v>
      </c>
      <c r="AG133" s="2" t="s">
        <v>45</v>
      </c>
      <c r="AH133" s="2" t="s">
        <v>45</v>
      </c>
      <c r="AI133" s="2" t="n">
        <f aca="false">COUNTIF('Needs review'!$A:$A,B133)</f>
        <v>1</v>
      </c>
    </row>
    <row r="134" customFormat="false" ht="15" hidden="false" customHeight="false" outlineLevel="0" collapsed="false">
      <c r="A134" s="2" t="s">
        <v>1006</v>
      </c>
      <c r="B134" s="2" t="s">
        <v>1007</v>
      </c>
      <c r="C134" s="2" t="s">
        <v>548</v>
      </c>
      <c r="D134" s="2" t="s">
        <v>927</v>
      </c>
      <c r="E134" s="2" t="s">
        <v>39</v>
      </c>
      <c r="F134" s="2" t="s">
        <v>40</v>
      </c>
      <c r="G134" s="2" t="s">
        <v>1008</v>
      </c>
      <c r="H134" s="2"/>
      <c r="I134" s="3" t="n">
        <v>3</v>
      </c>
      <c r="J134" s="2" t="n">
        <v>2</v>
      </c>
      <c r="K134" s="4" t="n">
        <v>2800</v>
      </c>
      <c r="L134" s="5" t="n">
        <v>40</v>
      </c>
      <c r="M134" s="5" t="n">
        <v>70</v>
      </c>
      <c r="N134" s="2" t="s">
        <v>460</v>
      </c>
      <c r="O134" s="2" t="s">
        <v>1009</v>
      </c>
      <c r="P134" s="6" t="s">
        <v>45</v>
      </c>
      <c r="Q134" s="2"/>
      <c r="R134" s="7"/>
      <c r="S134" s="2" t="str">
        <f aca="false">IF(COUNTA(U134:W134)&gt;0,"Yes","No")</f>
        <v>No</v>
      </c>
      <c r="T134" s="2" t="s">
        <v>1010</v>
      </c>
      <c r="U134" s="2"/>
      <c r="V134" s="2"/>
      <c r="W134" s="2"/>
      <c r="X134" s="2" t="s">
        <v>1011</v>
      </c>
      <c r="Y134" s="2" t="s">
        <v>1012</v>
      </c>
      <c r="Z134" s="2" t="s">
        <v>1013</v>
      </c>
      <c r="AA134" s="2"/>
      <c r="AB134" s="2"/>
      <c r="AC134" s="2"/>
      <c r="AD134" s="2"/>
      <c r="AE134" s="2"/>
      <c r="AF134" s="2" t="s">
        <v>45</v>
      </c>
      <c r="AG134" s="2" t="s">
        <v>45</v>
      </c>
      <c r="AH134" s="2" t="s">
        <v>45</v>
      </c>
      <c r="AI134" s="2" t="n">
        <f aca="false">COUNTIF('Needs review'!$A:$A,B134)</f>
        <v>1</v>
      </c>
    </row>
    <row r="135" customFormat="false" ht="15" hidden="false" customHeight="false" outlineLevel="0" collapsed="false">
      <c r="A135" s="2" t="s">
        <v>1014</v>
      </c>
      <c r="B135" s="2" t="s">
        <v>1015</v>
      </c>
      <c r="C135" s="2" t="s">
        <v>548</v>
      </c>
      <c r="D135" s="2" t="s">
        <v>927</v>
      </c>
      <c r="E135" s="2" t="s">
        <v>776</v>
      </c>
      <c r="F135" s="2" t="s">
        <v>40</v>
      </c>
      <c r="G135" s="2" t="s">
        <v>935</v>
      </c>
      <c r="H135" s="2"/>
      <c r="I135" s="3"/>
      <c r="J135" s="2"/>
      <c r="K135" s="4" t="n">
        <v>1560</v>
      </c>
      <c r="L135" s="5" t="n">
        <v>30</v>
      </c>
      <c r="M135" s="5" t="n">
        <v>52</v>
      </c>
      <c r="N135" s="2" t="s">
        <v>65</v>
      </c>
      <c r="O135" s="2" t="s">
        <v>1016</v>
      </c>
      <c r="P135" s="6" t="s">
        <v>122</v>
      </c>
      <c r="Q135" s="2" t="s">
        <v>778</v>
      </c>
      <c r="R135" s="7"/>
      <c r="S135" s="2" t="str">
        <f aca="false">IF(COUNTA(U135:W135)&gt;0,"Yes","No")</f>
        <v>No</v>
      </c>
      <c r="T135" s="2"/>
      <c r="U135" s="2"/>
      <c r="V135" s="2"/>
      <c r="W135" s="2"/>
      <c r="X135" s="2"/>
      <c r="Y135" s="2"/>
      <c r="Z135" s="2"/>
      <c r="AA135" s="2"/>
      <c r="AB135" s="2"/>
      <c r="AC135" s="2"/>
      <c r="AD135" s="2"/>
      <c r="AE135" s="2"/>
      <c r="AF135" s="2" t="s">
        <v>45</v>
      </c>
      <c r="AG135" s="2" t="s">
        <v>45</v>
      </c>
      <c r="AH135" s="2" t="s">
        <v>122</v>
      </c>
      <c r="AI135" s="2" t="n">
        <f aca="false">COUNTIF('Needs review'!$A:$A,B135)</f>
        <v>2</v>
      </c>
    </row>
    <row r="136" customFormat="false" ht="15" hidden="false" customHeight="false" outlineLevel="0" collapsed="false">
      <c r="A136" s="2" t="s">
        <v>1017</v>
      </c>
      <c r="B136" s="2" t="s">
        <v>1018</v>
      </c>
      <c r="C136" s="2" t="s">
        <v>548</v>
      </c>
      <c r="D136" s="2" t="s">
        <v>927</v>
      </c>
      <c r="E136" s="2" t="s">
        <v>776</v>
      </c>
      <c r="F136" s="2" t="s">
        <v>40</v>
      </c>
      <c r="G136" s="2" t="s">
        <v>944</v>
      </c>
      <c r="H136" s="2"/>
      <c r="I136" s="3"/>
      <c r="J136" s="2"/>
      <c r="K136" s="4" t="n">
        <v>1800</v>
      </c>
      <c r="L136" s="5" t="n">
        <v>30</v>
      </c>
      <c r="M136" s="5" t="n">
        <v>60</v>
      </c>
      <c r="N136" s="2" t="s">
        <v>65</v>
      </c>
      <c r="O136" s="2" t="s">
        <v>801</v>
      </c>
      <c r="P136" s="6" t="s">
        <v>122</v>
      </c>
      <c r="Q136" s="2" t="s">
        <v>778</v>
      </c>
      <c r="R136" s="7"/>
      <c r="S136" s="2" t="str">
        <f aca="false">IF(COUNTA(U136:W136)&gt;0,"Yes","No")</f>
        <v>No</v>
      </c>
      <c r="T136" s="2"/>
      <c r="U136" s="2"/>
      <c r="V136" s="2"/>
      <c r="W136" s="2"/>
      <c r="X136" s="2"/>
      <c r="Y136" s="2"/>
      <c r="Z136" s="2"/>
      <c r="AA136" s="2"/>
      <c r="AB136" s="2"/>
      <c r="AC136" s="2"/>
      <c r="AD136" s="2"/>
      <c r="AE136" s="2"/>
      <c r="AF136" s="2" t="s">
        <v>45</v>
      </c>
      <c r="AG136" s="2" t="s">
        <v>45</v>
      </c>
      <c r="AH136" s="2" t="s">
        <v>122</v>
      </c>
      <c r="AI136" s="2" t="n">
        <f aca="false">COUNTIF('Needs review'!$A:$A,B136)</f>
        <v>2</v>
      </c>
    </row>
    <row r="137" customFormat="false" ht="15" hidden="false" customHeight="false" outlineLevel="0" collapsed="false">
      <c r="A137" s="2" t="s">
        <v>1019</v>
      </c>
      <c r="B137" s="2" t="s">
        <v>1020</v>
      </c>
      <c r="C137" s="2" t="s">
        <v>548</v>
      </c>
      <c r="D137" s="2" t="s">
        <v>927</v>
      </c>
      <c r="E137" s="2" t="s">
        <v>776</v>
      </c>
      <c r="F137" s="2" t="s">
        <v>40</v>
      </c>
      <c r="G137" s="2" t="s">
        <v>958</v>
      </c>
      <c r="H137" s="2"/>
      <c r="I137" s="3"/>
      <c r="J137" s="2"/>
      <c r="K137" s="4" t="n">
        <v>2100</v>
      </c>
      <c r="L137" s="5" t="n">
        <v>30</v>
      </c>
      <c r="M137" s="5" t="n">
        <v>70</v>
      </c>
      <c r="N137" s="2" t="s">
        <v>65</v>
      </c>
      <c r="O137" s="2" t="s">
        <v>769</v>
      </c>
      <c r="P137" s="6" t="s">
        <v>122</v>
      </c>
      <c r="Q137" s="2" t="s">
        <v>778</v>
      </c>
      <c r="R137" s="7"/>
      <c r="S137" s="2" t="str">
        <f aca="false">IF(COUNTA(U137:W137)&gt;0,"Yes","No")</f>
        <v>No</v>
      </c>
      <c r="T137" s="2"/>
      <c r="U137" s="2"/>
      <c r="V137" s="2"/>
      <c r="W137" s="2"/>
      <c r="X137" s="2"/>
      <c r="Y137" s="2"/>
      <c r="Z137" s="2"/>
      <c r="AA137" s="2"/>
      <c r="AB137" s="2"/>
      <c r="AC137" s="2"/>
      <c r="AD137" s="2"/>
      <c r="AE137" s="2"/>
      <c r="AF137" s="2" t="s">
        <v>45</v>
      </c>
      <c r="AG137" s="2" t="s">
        <v>45</v>
      </c>
      <c r="AH137" s="2" t="s">
        <v>122</v>
      </c>
      <c r="AI137" s="2" t="n">
        <f aca="false">COUNTIF('Needs review'!$A:$A,B137)</f>
        <v>2</v>
      </c>
    </row>
    <row r="138" customFormat="false" ht="15" hidden="false" customHeight="false" outlineLevel="0" collapsed="false">
      <c r="A138" s="2" t="s">
        <v>812</v>
      </c>
      <c r="B138" s="2" t="s">
        <v>1021</v>
      </c>
      <c r="C138" s="2" t="s">
        <v>1022</v>
      </c>
      <c r="D138" s="2" t="s">
        <v>1023</v>
      </c>
      <c r="E138" s="2" t="s">
        <v>39</v>
      </c>
      <c r="F138" s="2" t="s">
        <v>40</v>
      </c>
      <c r="G138" s="2" t="s">
        <v>1024</v>
      </c>
      <c r="H138" s="2" t="s">
        <v>812</v>
      </c>
      <c r="I138" s="3" t="n">
        <v>1</v>
      </c>
      <c r="J138" s="2" t="n">
        <v>1</v>
      </c>
      <c r="K138" s="4" t="n">
        <v>533</v>
      </c>
      <c r="L138" s="5" t="n">
        <v>14</v>
      </c>
      <c r="M138" s="5" t="n">
        <v>40</v>
      </c>
      <c r="N138" s="2" t="s">
        <v>43</v>
      </c>
      <c r="O138" s="2" t="s">
        <v>560</v>
      </c>
      <c r="P138" s="6" t="s">
        <v>45</v>
      </c>
      <c r="Q138" s="2"/>
      <c r="R138" s="7"/>
      <c r="S138" s="2" t="str">
        <f aca="false">IF(COUNTA(U138:W138)&gt;0,"Yes","No")</f>
        <v>Yes</v>
      </c>
      <c r="T138" s="2" t="s">
        <v>1025</v>
      </c>
      <c r="U138" s="2" t="s">
        <v>1026</v>
      </c>
      <c r="V138" s="2"/>
      <c r="W138" s="2"/>
      <c r="X138" s="2" t="s">
        <v>1027</v>
      </c>
      <c r="Y138" s="2" t="s">
        <v>1028</v>
      </c>
      <c r="Z138" s="2" t="s">
        <v>1029</v>
      </c>
      <c r="AA138" s="2" t="s">
        <v>1030</v>
      </c>
      <c r="AB138" s="2" t="s">
        <v>1031</v>
      </c>
      <c r="AC138" s="2" t="s">
        <v>1032</v>
      </c>
      <c r="AD138" s="2" t="s">
        <v>1033</v>
      </c>
      <c r="AE138" s="2" t="s">
        <v>1034</v>
      </c>
      <c r="AF138" s="2" t="s">
        <v>45</v>
      </c>
      <c r="AG138" s="2" t="s">
        <v>45</v>
      </c>
      <c r="AH138" s="2" t="s">
        <v>45</v>
      </c>
      <c r="AI138" s="2" t="n">
        <f aca="false">COUNTIF('Needs review'!$A:$A,B138)</f>
        <v>1</v>
      </c>
    </row>
    <row r="139" customFormat="false" ht="15" hidden="false" customHeight="false" outlineLevel="0" collapsed="false">
      <c r="A139" s="2" t="s">
        <v>1035</v>
      </c>
      <c r="B139" s="2" t="s">
        <v>1036</v>
      </c>
      <c r="C139" s="2" t="s">
        <v>1022</v>
      </c>
      <c r="D139" s="2" t="s">
        <v>1023</v>
      </c>
      <c r="E139" s="2" t="s">
        <v>39</v>
      </c>
      <c r="F139" s="2" t="s">
        <v>40</v>
      </c>
      <c r="G139" s="2" t="s">
        <v>1037</v>
      </c>
      <c r="H139" s="2" t="s">
        <v>1035</v>
      </c>
      <c r="I139" s="3" t="n">
        <v>2</v>
      </c>
      <c r="J139" s="2" t="n">
        <v>1</v>
      </c>
      <c r="K139" s="4" t="n">
        <v>640</v>
      </c>
      <c r="L139" s="5" t="n">
        <v>14</v>
      </c>
      <c r="M139" s="5" t="n">
        <v>48</v>
      </c>
      <c r="N139" s="2" t="s">
        <v>43</v>
      </c>
      <c r="O139" s="2" t="s">
        <v>568</v>
      </c>
      <c r="P139" s="6" t="s">
        <v>45</v>
      </c>
      <c r="Q139" s="2"/>
      <c r="R139" s="7"/>
      <c r="S139" s="2" t="str">
        <f aca="false">IF(COUNTA(U139:W139)&gt;0,"Yes","No")</f>
        <v>No</v>
      </c>
      <c r="T139" s="2" t="s">
        <v>1038</v>
      </c>
      <c r="U139" s="2"/>
      <c r="V139" s="2"/>
      <c r="W139" s="2"/>
      <c r="X139" s="2" t="s">
        <v>1039</v>
      </c>
      <c r="Y139" s="2" t="s">
        <v>1040</v>
      </c>
      <c r="Z139" s="2" t="s">
        <v>1041</v>
      </c>
      <c r="AA139" s="2" t="s">
        <v>1030</v>
      </c>
      <c r="AB139" s="2" t="s">
        <v>1031</v>
      </c>
      <c r="AC139" s="2" t="s">
        <v>1032</v>
      </c>
      <c r="AD139" s="2" t="s">
        <v>1033</v>
      </c>
      <c r="AE139" s="2" t="s">
        <v>1034</v>
      </c>
      <c r="AF139" s="2" t="s">
        <v>45</v>
      </c>
      <c r="AG139" s="2" t="s">
        <v>45</v>
      </c>
      <c r="AH139" s="2" t="s">
        <v>45</v>
      </c>
      <c r="AI139" s="2" t="n">
        <f aca="false">COUNTIF('Needs review'!$A:$A,B139)</f>
        <v>1</v>
      </c>
    </row>
    <row r="140" customFormat="false" ht="15" hidden="false" customHeight="false" outlineLevel="0" collapsed="false">
      <c r="A140" s="2" t="s">
        <v>1042</v>
      </c>
      <c r="B140" s="2" t="s">
        <v>1043</v>
      </c>
      <c r="C140" s="2" t="s">
        <v>1022</v>
      </c>
      <c r="D140" s="2" t="s">
        <v>1023</v>
      </c>
      <c r="E140" s="2" t="s">
        <v>39</v>
      </c>
      <c r="F140" s="2" t="s">
        <v>40</v>
      </c>
      <c r="G140" s="2" t="s">
        <v>1044</v>
      </c>
      <c r="H140" s="2" t="s">
        <v>1042</v>
      </c>
      <c r="I140" s="3" t="n">
        <v>1</v>
      </c>
      <c r="J140" s="2" t="n">
        <v>1</v>
      </c>
      <c r="K140" s="4" t="n">
        <v>660</v>
      </c>
      <c r="L140" s="5" t="n">
        <v>15</v>
      </c>
      <c r="M140" s="5" t="n">
        <v>44</v>
      </c>
      <c r="N140" s="2" t="s">
        <v>43</v>
      </c>
      <c r="O140" s="2" t="s">
        <v>1045</v>
      </c>
      <c r="P140" s="6" t="s">
        <v>45</v>
      </c>
      <c r="Q140" s="2"/>
      <c r="R140" s="7"/>
      <c r="S140" s="2" t="str">
        <f aca="false">IF(COUNTA(U140:W140)&gt;0,"Yes","No")</f>
        <v>Yes</v>
      </c>
      <c r="T140" s="2" t="s">
        <v>1046</v>
      </c>
      <c r="U140" s="2" t="s">
        <v>1047</v>
      </c>
      <c r="V140" s="2"/>
      <c r="W140" s="2"/>
      <c r="X140" s="2" t="s">
        <v>1048</v>
      </c>
      <c r="Y140" s="2" t="s">
        <v>1049</v>
      </c>
      <c r="Z140" s="2" t="s">
        <v>1050</v>
      </c>
      <c r="AA140" s="2" t="s">
        <v>1030</v>
      </c>
      <c r="AB140" s="2" t="s">
        <v>1031</v>
      </c>
      <c r="AC140" s="2" t="s">
        <v>1032</v>
      </c>
      <c r="AD140" s="2" t="s">
        <v>1033</v>
      </c>
      <c r="AE140" s="2" t="s">
        <v>1034</v>
      </c>
      <c r="AF140" s="2" t="s">
        <v>45</v>
      </c>
      <c r="AG140" s="2" t="s">
        <v>45</v>
      </c>
      <c r="AH140" s="2" t="s">
        <v>45</v>
      </c>
      <c r="AI140" s="2" t="n">
        <f aca="false">COUNTIF('Needs review'!$A:$A,B140)</f>
        <v>1</v>
      </c>
    </row>
    <row r="141" customFormat="false" ht="15" hidden="false" customHeight="false" outlineLevel="0" collapsed="false">
      <c r="A141" s="2" t="s">
        <v>1051</v>
      </c>
      <c r="B141" s="2" t="s">
        <v>1052</v>
      </c>
      <c r="C141" s="2" t="s">
        <v>1022</v>
      </c>
      <c r="D141" s="2" t="s">
        <v>1023</v>
      </c>
      <c r="E141" s="2" t="s">
        <v>39</v>
      </c>
      <c r="F141" s="2" t="s">
        <v>40</v>
      </c>
      <c r="G141" s="2" t="s">
        <v>1053</v>
      </c>
      <c r="H141" s="2" t="s">
        <v>1051</v>
      </c>
      <c r="I141" s="3" t="n">
        <v>2</v>
      </c>
      <c r="J141" s="2" t="n">
        <v>1</v>
      </c>
      <c r="K141" s="4" t="n">
        <v>780</v>
      </c>
      <c r="L141" s="5" t="n">
        <v>15</v>
      </c>
      <c r="M141" s="5" t="n">
        <v>52</v>
      </c>
      <c r="N141" s="2" t="s">
        <v>43</v>
      </c>
      <c r="O141" s="2" t="s">
        <v>1054</v>
      </c>
      <c r="P141" s="6" t="s">
        <v>45</v>
      </c>
      <c r="Q141" s="2"/>
      <c r="R141" s="7"/>
      <c r="S141" s="2" t="str">
        <f aca="false">IF(COUNTA(U141:W141)&gt;0,"Yes","No")</f>
        <v>No</v>
      </c>
      <c r="T141" s="2" t="s">
        <v>1055</v>
      </c>
      <c r="U141" s="2"/>
      <c r="V141" s="2"/>
      <c r="W141" s="2"/>
      <c r="X141" s="2" t="s">
        <v>1056</v>
      </c>
      <c r="Y141" s="2" t="s">
        <v>1057</v>
      </c>
      <c r="Z141" s="2" t="s">
        <v>1058</v>
      </c>
      <c r="AA141" s="2" t="s">
        <v>1030</v>
      </c>
      <c r="AB141" s="2" t="s">
        <v>1031</v>
      </c>
      <c r="AC141" s="2" t="s">
        <v>1032</v>
      </c>
      <c r="AD141" s="2" t="s">
        <v>1033</v>
      </c>
      <c r="AE141" s="2" t="s">
        <v>1034</v>
      </c>
      <c r="AF141" s="2" t="s">
        <v>45</v>
      </c>
      <c r="AG141" s="2" t="s">
        <v>45</v>
      </c>
      <c r="AH141" s="2" t="s">
        <v>45</v>
      </c>
      <c r="AI141" s="2" t="n">
        <f aca="false">COUNTIF('Needs review'!$A:$A,B141)</f>
        <v>1</v>
      </c>
    </row>
    <row r="142" customFormat="false" ht="15" hidden="false" customHeight="false" outlineLevel="0" collapsed="false">
      <c r="A142" s="2" t="s">
        <v>1059</v>
      </c>
      <c r="B142" s="2" t="s">
        <v>1060</v>
      </c>
      <c r="C142" s="2" t="s">
        <v>1022</v>
      </c>
      <c r="D142" s="2" t="s">
        <v>1023</v>
      </c>
      <c r="E142" s="2" t="s">
        <v>39</v>
      </c>
      <c r="F142" s="2" t="s">
        <v>40</v>
      </c>
      <c r="G142" s="2" t="s">
        <v>1061</v>
      </c>
      <c r="H142" s="2" t="s">
        <v>1059</v>
      </c>
      <c r="I142" s="3" t="n">
        <v>2</v>
      </c>
      <c r="J142" s="2" t="n">
        <v>2</v>
      </c>
      <c r="K142" s="4" t="n">
        <v>800</v>
      </c>
      <c r="L142" s="5" t="n">
        <v>14</v>
      </c>
      <c r="M142" s="5" t="n">
        <v>60</v>
      </c>
      <c r="N142" s="2" t="s">
        <v>43</v>
      </c>
      <c r="O142" s="2" t="s">
        <v>592</v>
      </c>
      <c r="P142" s="6" t="s">
        <v>45</v>
      </c>
      <c r="Q142" s="2"/>
      <c r="R142" s="7"/>
      <c r="S142" s="2" t="str">
        <f aca="false">IF(COUNTA(U142:W142)&gt;0,"Yes","No")</f>
        <v>Yes</v>
      </c>
      <c r="T142" s="2" t="s">
        <v>1062</v>
      </c>
      <c r="U142" s="2" t="s">
        <v>1063</v>
      </c>
      <c r="V142" s="2"/>
      <c r="W142" s="2"/>
      <c r="X142" s="2" t="s">
        <v>1064</v>
      </c>
      <c r="Y142" s="2" t="s">
        <v>1065</v>
      </c>
      <c r="Z142" s="2" t="s">
        <v>1066</v>
      </c>
      <c r="AA142" s="2" t="s">
        <v>1030</v>
      </c>
      <c r="AB142" s="2" t="s">
        <v>1031</v>
      </c>
      <c r="AC142" s="2" t="s">
        <v>1032</v>
      </c>
      <c r="AD142" s="2" t="s">
        <v>1033</v>
      </c>
      <c r="AE142" s="2" t="s">
        <v>1034</v>
      </c>
      <c r="AF142" s="2" t="s">
        <v>45</v>
      </c>
      <c r="AG142" s="2" t="s">
        <v>45</v>
      </c>
      <c r="AH142" s="2" t="s">
        <v>45</v>
      </c>
      <c r="AI142" s="2" t="n">
        <f aca="false">COUNTIF('Needs review'!$A:$A,B142)</f>
        <v>1</v>
      </c>
    </row>
    <row r="143" customFormat="false" ht="15" hidden="false" customHeight="false" outlineLevel="0" collapsed="false">
      <c r="A143" s="2" t="s">
        <v>1067</v>
      </c>
      <c r="B143" s="2" t="s">
        <v>1068</v>
      </c>
      <c r="C143" s="2" t="s">
        <v>1022</v>
      </c>
      <c r="D143" s="2" t="s">
        <v>1023</v>
      </c>
      <c r="E143" s="2" t="s">
        <v>39</v>
      </c>
      <c r="F143" s="2" t="s">
        <v>40</v>
      </c>
      <c r="G143" s="2" t="s">
        <v>1069</v>
      </c>
      <c r="H143" s="2" t="s">
        <v>1067</v>
      </c>
      <c r="I143" s="3" t="n">
        <v>2</v>
      </c>
      <c r="J143" s="2" t="n">
        <v>2</v>
      </c>
      <c r="K143" s="4" t="n">
        <v>840</v>
      </c>
      <c r="L143" s="5" t="n">
        <v>15</v>
      </c>
      <c r="M143" s="5" t="n">
        <v>56</v>
      </c>
      <c r="N143" s="2" t="s">
        <v>43</v>
      </c>
      <c r="O143" s="2" t="s">
        <v>608</v>
      </c>
      <c r="P143" s="6" t="s">
        <v>45</v>
      </c>
      <c r="Q143" s="2"/>
      <c r="R143" s="7"/>
      <c r="S143" s="2" t="str">
        <f aca="false">IF(COUNTA(U143:W143)&gt;0,"Yes","No")</f>
        <v>Yes</v>
      </c>
      <c r="T143" s="2" t="s">
        <v>1070</v>
      </c>
      <c r="U143" s="2" t="s">
        <v>1071</v>
      </c>
      <c r="V143" s="2"/>
      <c r="W143" s="2"/>
      <c r="X143" s="2" t="s">
        <v>1072</v>
      </c>
      <c r="Y143" s="2" t="s">
        <v>1073</v>
      </c>
      <c r="Z143" s="2" t="s">
        <v>1074</v>
      </c>
      <c r="AA143" s="2" t="s">
        <v>1030</v>
      </c>
      <c r="AB143" s="2" t="s">
        <v>1031</v>
      </c>
      <c r="AC143" s="2" t="s">
        <v>1032</v>
      </c>
      <c r="AD143" s="2" t="s">
        <v>1033</v>
      </c>
      <c r="AE143" s="2" t="s">
        <v>1034</v>
      </c>
      <c r="AF143" s="2" t="s">
        <v>45</v>
      </c>
      <c r="AG143" s="2" t="s">
        <v>45</v>
      </c>
      <c r="AH143" s="2" t="s">
        <v>45</v>
      </c>
      <c r="AI143" s="2" t="n">
        <f aca="false">COUNTIF('Needs review'!$A:$A,B143)</f>
        <v>1</v>
      </c>
    </row>
    <row r="144" customFormat="false" ht="15" hidden="false" customHeight="false" outlineLevel="0" collapsed="false">
      <c r="A144" s="2" t="s">
        <v>1075</v>
      </c>
      <c r="B144" s="2" t="s">
        <v>1076</v>
      </c>
      <c r="C144" s="2" t="s">
        <v>1022</v>
      </c>
      <c r="D144" s="2" t="s">
        <v>1023</v>
      </c>
      <c r="E144" s="2" t="s">
        <v>39</v>
      </c>
      <c r="F144" s="2" t="s">
        <v>40</v>
      </c>
      <c r="G144" s="2" t="s">
        <v>1077</v>
      </c>
      <c r="H144" s="2" t="s">
        <v>1075</v>
      </c>
      <c r="I144" s="3" t="n">
        <v>3</v>
      </c>
      <c r="J144" s="2" t="n">
        <v>2</v>
      </c>
      <c r="K144" s="4" t="n">
        <v>880</v>
      </c>
      <c r="L144" s="5" t="n">
        <v>14</v>
      </c>
      <c r="M144" s="5" t="n">
        <v>66</v>
      </c>
      <c r="N144" s="2" t="s">
        <v>43</v>
      </c>
      <c r="O144" s="2" t="s">
        <v>1078</v>
      </c>
      <c r="P144" s="6" t="s">
        <v>45</v>
      </c>
      <c r="Q144" s="2"/>
      <c r="R144" s="7"/>
      <c r="S144" s="2" t="str">
        <f aca="false">IF(COUNTA(U144:W144)&gt;0,"Yes","No")</f>
        <v>Yes</v>
      </c>
      <c r="T144" s="2" t="s">
        <v>1079</v>
      </c>
      <c r="U144" s="2" t="s">
        <v>1080</v>
      </c>
      <c r="V144" s="2"/>
      <c r="W144" s="2"/>
      <c r="X144" s="2" t="s">
        <v>1081</v>
      </c>
      <c r="Y144" s="2" t="s">
        <v>1082</v>
      </c>
      <c r="Z144" s="2" t="s">
        <v>1083</v>
      </c>
      <c r="AA144" s="2" t="s">
        <v>1030</v>
      </c>
      <c r="AB144" s="2" t="s">
        <v>1031</v>
      </c>
      <c r="AC144" s="2" t="s">
        <v>1032</v>
      </c>
      <c r="AD144" s="2" t="s">
        <v>1033</v>
      </c>
      <c r="AE144" s="2" t="s">
        <v>1034</v>
      </c>
      <c r="AF144" s="2" t="s">
        <v>45</v>
      </c>
      <c r="AG144" s="2" t="s">
        <v>45</v>
      </c>
      <c r="AH144" s="2" t="s">
        <v>45</v>
      </c>
      <c r="AI144" s="2" t="n">
        <f aca="false">COUNTIF('Needs review'!$A:$A,B144)</f>
        <v>1</v>
      </c>
    </row>
    <row r="145" customFormat="false" ht="15" hidden="false" customHeight="false" outlineLevel="0" collapsed="false">
      <c r="A145" s="2" t="s">
        <v>1084</v>
      </c>
      <c r="B145" s="2" t="s">
        <v>1085</v>
      </c>
      <c r="C145" s="2" t="s">
        <v>1022</v>
      </c>
      <c r="D145" s="2" t="s">
        <v>1023</v>
      </c>
      <c r="E145" s="2" t="s">
        <v>39</v>
      </c>
      <c r="F145" s="2" t="s">
        <v>40</v>
      </c>
      <c r="G145" s="2" t="s">
        <v>1086</v>
      </c>
      <c r="H145" s="2" t="s">
        <v>1084</v>
      </c>
      <c r="I145" s="3" t="n">
        <v>2</v>
      </c>
      <c r="J145" s="2" t="n">
        <v>2</v>
      </c>
      <c r="K145" s="4" t="n">
        <v>900</v>
      </c>
      <c r="L145" s="5" t="n">
        <v>15</v>
      </c>
      <c r="M145" s="5" t="n">
        <v>60</v>
      </c>
      <c r="N145" s="2" t="s">
        <v>43</v>
      </c>
      <c r="O145" s="2" t="s">
        <v>1087</v>
      </c>
      <c r="P145" s="6" t="s">
        <v>45</v>
      </c>
      <c r="Q145" s="2"/>
      <c r="R145" s="7"/>
      <c r="S145" s="2" t="str">
        <f aca="false">IF(COUNTA(U145:W145)&gt;0,"Yes","No")</f>
        <v>Yes</v>
      </c>
      <c r="T145" s="2" t="s">
        <v>1088</v>
      </c>
      <c r="U145" s="2" t="s">
        <v>1089</v>
      </c>
      <c r="V145" s="2"/>
      <c r="W145" s="2"/>
      <c r="X145" s="2" t="s">
        <v>1090</v>
      </c>
      <c r="Y145" s="2" t="s">
        <v>1091</v>
      </c>
      <c r="Z145" s="2" t="s">
        <v>1092</v>
      </c>
      <c r="AA145" s="2" t="s">
        <v>1030</v>
      </c>
      <c r="AB145" s="2" t="s">
        <v>1031</v>
      </c>
      <c r="AC145" s="2" t="s">
        <v>1032</v>
      </c>
      <c r="AD145" s="2" t="s">
        <v>1033</v>
      </c>
      <c r="AE145" s="2" t="s">
        <v>1034</v>
      </c>
      <c r="AF145" s="2" t="s">
        <v>45</v>
      </c>
      <c r="AG145" s="2" t="s">
        <v>45</v>
      </c>
      <c r="AH145" s="2" t="s">
        <v>45</v>
      </c>
      <c r="AI145" s="2" t="n">
        <f aca="false">COUNTIF('Needs review'!$A:$A,B145)</f>
        <v>1</v>
      </c>
    </row>
    <row r="146" customFormat="false" ht="15" hidden="false" customHeight="false" outlineLevel="0" collapsed="false">
      <c r="A146" s="2" t="s">
        <v>1093</v>
      </c>
      <c r="B146" s="2" t="s">
        <v>1094</v>
      </c>
      <c r="C146" s="2" t="s">
        <v>1022</v>
      </c>
      <c r="D146" s="2" t="s">
        <v>1023</v>
      </c>
      <c r="E146" s="2" t="s">
        <v>39</v>
      </c>
      <c r="F146" s="2" t="s">
        <v>40</v>
      </c>
      <c r="G146" s="2" t="s">
        <v>1095</v>
      </c>
      <c r="H146" s="2" t="s">
        <v>1093</v>
      </c>
      <c r="I146" s="3" t="n">
        <v>3</v>
      </c>
      <c r="J146" s="2" t="n">
        <v>2</v>
      </c>
      <c r="K146" s="4" t="n">
        <v>990</v>
      </c>
      <c r="L146" s="5" t="n">
        <v>15</v>
      </c>
      <c r="M146" s="5" t="n">
        <v>66</v>
      </c>
      <c r="N146" s="2" t="s">
        <v>43</v>
      </c>
      <c r="O146" s="2" t="s">
        <v>1096</v>
      </c>
      <c r="P146" s="6" t="s">
        <v>45</v>
      </c>
      <c r="Q146" s="2"/>
      <c r="R146" s="7"/>
      <c r="S146" s="2" t="str">
        <f aca="false">IF(COUNTA(U146:W146)&gt;0,"Yes","No")</f>
        <v>Yes</v>
      </c>
      <c r="T146" s="2" t="s">
        <v>1097</v>
      </c>
      <c r="U146" s="2" t="s">
        <v>1098</v>
      </c>
      <c r="V146" s="2"/>
      <c r="W146" s="2"/>
      <c r="X146" s="2" t="s">
        <v>1099</v>
      </c>
      <c r="Y146" s="2" t="s">
        <v>1100</v>
      </c>
      <c r="Z146" s="2" t="s">
        <v>1101</v>
      </c>
      <c r="AA146" s="2" t="s">
        <v>1030</v>
      </c>
      <c r="AB146" s="2" t="s">
        <v>1031</v>
      </c>
      <c r="AC146" s="2" t="s">
        <v>1032</v>
      </c>
      <c r="AD146" s="2" t="s">
        <v>1033</v>
      </c>
      <c r="AE146" s="2" t="s">
        <v>1034</v>
      </c>
      <c r="AF146" s="2" t="s">
        <v>45</v>
      </c>
      <c r="AG146" s="2" t="s">
        <v>45</v>
      </c>
      <c r="AH146" s="2" t="s">
        <v>45</v>
      </c>
      <c r="AI146" s="2" t="n">
        <f aca="false">COUNTIF('Needs review'!$A:$A,B146)</f>
        <v>1</v>
      </c>
    </row>
    <row r="147" customFormat="false" ht="15" hidden="false" customHeight="false" outlineLevel="0" collapsed="false">
      <c r="A147" s="2" t="s">
        <v>1102</v>
      </c>
      <c r="B147" s="2" t="s">
        <v>1103</v>
      </c>
      <c r="C147" s="2" t="s">
        <v>1022</v>
      </c>
      <c r="D147" s="2" t="s">
        <v>1023</v>
      </c>
      <c r="E147" s="2" t="s">
        <v>39</v>
      </c>
      <c r="F147" s="2" t="s">
        <v>40</v>
      </c>
      <c r="G147" s="2" t="s">
        <v>1104</v>
      </c>
      <c r="H147" s="2" t="s">
        <v>1102</v>
      </c>
      <c r="I147" s="3" t="n">
        <v>2</v>
      </c>
      <c r="J147" s="2" t="n">
        <v>2</v>
      </c>
      <c r="K147" s="4" t="n">
        <v>1056</v>
      </c>
      <c r="L147" s="5" t="n">
        <v>24</v>
      </c>
      <c r="M147" s="5" t="n">
        <v>44</v>
      </c>
      <c r="N147" s="2" t="s">
        <v>65</v>
      </c>
      <c r="O147" s="2" t="s">
        <v>641</v>
      </c>
      <c r="P147" s="6" t="s">
        <v>45</v>
      </c>
      <c r="Q147" s="2"/>
      <c r="R147" s="7"/>
      <c r="S147" s="2" t="str">
        <f aca="false">IF(COUNTA(U147:W147)&gt;0,"Yes","No")</f>
        <v>Yes</v>
      </c>
      <c r="T147" s="2" t="s">
        <v>1105</v>
      </c>
      <c r="U147" s="2" t="s">
        <v>1106</v>
      </c>
      <c r="V147" s="2"/>
      <c r="W147" s="2"/>
      <c r="X147" s="2" t="s">
        <v>1107</v>
      </c>
      <c r="Y147" s="2" t="s">
        <v>1108</v>
      </c>
      <c r="Z147" s="2" t="s">
        <v>1109</v>
      </c>
      <c r="AA147" s="2" t="s">
        <v>1030</v>
      </c>
      <c r="AB147" s="2" t="s">
        <v>1031</v>
      </c>
      <c r="AC147" s="2" t="s">
        <v>1032</v>
      </c>
      <c r="AD147" s="2" t="s">
        <v>1033</v>
      </c>
      <c r="AE147" s="2" t="s">
        <v>1034</v>
      </c>
      <c r="AF147" s="2" t="s">
        <v>45</v>
      </c>
      <c r="AG147" s="2" t="s">
        <v>45</v>
      </c>
      <c r="AH147" s="2" t="s">
        <v>45</v>
      </c>
      <c r="AI147" s="2" t="n">
        <f aca="false">COUNTIF('Needs review'!$A:$A,B147)</f>
        <v>1</v>
      </c>
    </row>
    <row r="148" customFormat="false" ht="15" hidden="false" customHeight="false" outlineLevel="0" collapsed="false">
      <c r="A148" s="2" t="s">
        <v>1110</v>
      </c>
      <c r="B148" s="2" t="s">
        <v>1111</v>
      </c>
      <c r="C148" s="2" t="s">
        <v>1022</v>
      </c>
      <c r="D148" s="2" t="s">
        <v>1023</v>
      </c>
      <c r="E148" s="2" t="s">
        <v>39</v>
      </c>
      <c r="F148" s="2" t="s">
        <v>40</v>
      </c>
      <c r="G148" s="2" t="s">
        <v>1112</v>
      </c>
      <c r="H148" s="2" t="s">
        <v>1110</v>
      </c>
      <c r="I148" s="3" t="n">
        <v>3</v>
      </c>
      <c r="J148" s="2" t="n">
        <v>2</v>
      </c>
      <c r="K148" s="4" t="n">
        <v>1067</v>
      </c>
      <c r="L148" s="5" t="n">
        <v>27</v>
      </c>
      <c r="M148" s="5" t="n">
        <v>40</v>
      </c>
      <c r="N148" s="2" t="s">
        <v>65</v>
      </c>
      <c r="O148" s="2" t="s">
        <v>1113</v>
      </c>
      <c r="P148" s="6" t="s">
        <v>45</v>
      </c>
      <c r="Q148" s="2"/>
      <c r="R148" s="7"/>
      <c r="S148" s="2" t="str">
        <f aca="false">IF(COUNTA(U148:W148)&gt;0,"Yes","No")</f>
        <v>No</v>
      </c>
      <c r="T148" s="2" t="s">
        <v>1114</v>
      </c>
      <c r="U148" s="2"/>
      <c r="V148" s="2"/>
      <c r="W148" s="2"/>
      <c r="X148" s="2" t="s">
        <v>1115</v>
      </c>
      <c r="Y148" s="2" t="s">
        <v>1116</v>
      </c>
      <c r="Z148" s="2" t="s">
        <v>1117</v>
      </c>
      <c r="AA148" s="2" t="s">
        <v>1030</v>
      </c>
      <c r="AB148" s="2" t="s">
        <v>1031</v>
      </c>
      <c r="AC148" s="2" t="s">
        <v>1032</v>
      </c>
      <c r="AD148" s="2" t="s">
        <v>1033</v>
      </c>
      <c r="AE148" s="2" t="s">
        <v>1034</v>
      </c>
      <c r="AF148" s="2" t="s">
        <v>45</v>
      </c>
      <c r="AG148" s="2" t="s">
        <v>45</v>
      </c>
      <c r="AH148" s="2" t="s">
        <v>45</v>
      </c>
      <c r="AI148" s="2" t="n">
        <f aca="false">COUNTIF('Needs review'!$A:$A,B148)</f>
        <v>1</v>
      </c>
    </row>
    <row r="149" customFormat="false" ht="15" hidden="false" customHeight="false" outlineLevel="0" collapsed="false">
      <c r="A149" s="2" t="s">
        <v>1118</v>
      </c>
      <c r="B149" s="2" t="s">
        <v>1119</v>
      </c>
      <c r="C149" s="2" t="s">
        <v>1022</v>
      </c>
      <c r="D149" s="2" t="s">
        <v>1023</v>
      </c>
      <c r="E149" s="2" t="s">
        <v>39</v>
      </c>
      <c r="F149" s="2" t="s">
        <v>40</v>
      </c>
      <c r="G149" s="2" t="s">
        <v>1120</v>
      </c>
      <c r="H149" s="2" t="s">
        <v>1118</v>
      </c>
      <c r="I149" s="3" t="n">
        <v>3</v>
      </c>
      <c r="J149" s="2" t="n">
        <v>2</v>
      </c>
      <c r="K149" s="4" t="n">
        <v>1080</v>
      </c>
      <c r="L149" s="5" t="n">
        <v>15</v>
      </c>
      <c r="M149" s="5" t="n">
        <v>72</v>
      </c>
      <c r="N149" s="2" t="s">
        <v>43</v>
      </c>
      <c r="O149" s="2" t="s">
        <v>649</v>
      </c>
      <c r="P149" s="6" t="s">
        <v>45</v>
      </c>
      <c r="Q149" s="2"/>
      <c r="R149" s="7"/>
      <c r="S149" s="2" t="str">
        <f aca="false">IF(COUNTA(U149:W149)&gt;0,"Yes","No")</f>
        <v>Yes</v>
      </c>
      <c r="T149" s="2" t="s">
        <v>1121</v>
      </c>
      <c r="U149" s="2" t="s">
        <v>1122</v>
      </c>
      <c r="V149" s="2" t="s">
        <v>1123</v>
      </c>
      <c r="W149" s="2"/>
      <c r="X149" s="2" t="s">
        <v>1124</v>
      </c>
      <c r="Y149" s="2" t="s">
        <v>1125</v>
      </c>
      <c r="Z149" s="2" t="s">
        <v>1126</v>
      </c>
      <c r="AA149" s="2" t="s">
        <v>1030</v>
      </c>
      <c r="AB149" s="2" t="s">
        <v>1031</v>
      </c>
      <c r="AC149" s="2" t="s">
        <v>1032</v>
      </c>
      <c r="AD149" s="2" t="s">
        <v>1033</v>
      </c>
      <c r="AE149" s="2" t="s">
        <v>1034</v>
      </c>
      <c r="AF149" s="2" t="s">
        <v>45</v>
      </c>
      <c r="AG149" s="2" t="s">
        <v>45</v>
      </c>
      <c r="AH149" s="2" t="s">
        <v>45</v>
      </c>
      <c r="AI149" s="2" t="n">
        <f aca="false">COUNTIF('Needs review'!$A:$A,B149)</f>
        <v>1</v>
      </c>
    </row>
    <row r="150" customFormat="false" ht="15" hidden="false" customHeight="false" outlineLevel="0" collapsed="false">
      <c r="A150" s="2" t="s">
        <v>1127</v>
      </c>
      <c r="B150" s="2" t="s">
        <v>1128</v>
      </c>
      <c r="C150" s="2" t="s">
        <v>1022</v>
      </c>
      <c r="D150" s="2" t="s">
        <v>1023</v>
      </c>
      <c r="E150" s="2" t="s">
        <v>39</v>
      </c>
      <c r="F150" s="2" t="s">
        <v>40</v>
      </c>
      <c r="G150" s="2" t="s">
        <v>1129</v>
      </c>
      <c r="H150" s="2" t="s">
        <v>1127</v>
      </c>
      <c r="I150" s="3" t="n">
        <v>3</v>
      </c>
      <c r="J150" s="2" t="n">
        <v>2</v>
      </c>
      <c r="K150" s="4" t="n">
        <v>1140</v>
      </c>
      <c r="L150" s="5" t="n">
        <v>15</v>
      </c>
      <c r="M150" s="5" t="n">
        <v>76</v>
      </c>
      <c r="N150" s="2" t="s">
        <v>43</v>
      </c>
      <c r="O150" s="2" t="s">
        <v>1130</v>
      </c>
      <c r="P150" s="6" t="s">
        <v>45</v>
      </c>
      <c r="Q150" s="2"/>
      <c r="R150" s="7"/>
      <c r="S150" s="2" t="str">
        <f aca="false">IF(COUNTA(U150:W150)&gt;0,"Yes","No")</f>
        <v>Yes</v>
      </c>
      <c r="T150" s="2" t="s">
        <v>1131</v>
      </c>
      <c r="U150" s="2" t="s">
        <v>1132</v>
      </c>
      <c r="V150" s="2"/>
      <c r="W150" s="2"/>
      <c r="X150" s="2" t="s">
        <v>1133</v>
      </c>
      <c r="Y150" s="2" t="s">
        <v>1133</v>
      </c>
      <c r="Z150" s="2" t="s">
        <v>1134</v>
      </c>
      <c r="AA150" s="2" t="s">
        <v>1030</v>
      </c>
      <c r="AB150" s="2" t="s">
        <v>1031</v>
      </c>
      <c r="AC150" s="2" t="s">
        <v>1032</v>
      </c>
      <c r="AD150" s="2" t="s">
        <v>1033</v>
      </c>
      <c r="AE150" s="2" t="s">
        <v>1034</v>
      </c>
      <c r="AF150" s="2" t="s">
        <v>45</v>
      </c>
      <c r="AG150" s="2" t="s">
        <v>45</v>
      </c>
      <c r="AH150" s="2" t="s">
        <v>45</v>
      </c>
      <c r="AI150" s="2" t="n">
        <f aca="false">COUNTIF('Needs review'!$A:$A,B150)</f>
        <v>1</v>
      </c>
    </row>
    <row r="151" customFormat="false" ht="15" hidden="false" customHeight="false" outlineLevel="0" collapsed="false">
      <c r="A151" s="2" t="s">
        <v>1135</v>
      </c>
      <c r="B151" s="2" t="s">
        <v>1136</v>
      </c>
      <c r="C151" s="2" t="s">
        <v>1022</v>
      </c>
      <c r="D151" s="2" t="s">
        <v>1023</v>
      </c>
      <c r="E151" s="2" t="s">
        <v>39</v>
      </c>
      <c r="F151" s="2" t="s">
        <v>40</v>
      </c>
      <c r="G151" s="2" t="s">
        <v>1137</v>
      </c>
      <c r="H151" s="2" t="s">
        <v>1135</v>
      </c>
      <c r="I151" s="3" t="n">
        <v>3</v>
      </c>
      <c r="J151" s="2" t="n">
        <v>2</v>
      </c>
      <c r="K151" s="4" t="n">
        <v>1152</v>
      </c>
      <c r="L151" s="5" t="n">
        <v>24</v>
      </c>
      <c r="M151" s="5" t="n">
        <v>48</v>
      </c>
      <c r="N151" s="2" t="s">
        <v>65</v>
      </c>
      <c r="O151" s="2" t="s">
        <v>1138</v>
      </c>
      <c r="P151" s="6" t="s">
        <v>45</v>
      </c>
      <c r="Q151" s="2"/>
      <c r="R151" s="7"/>
      <c r="S151" s="2" t="str">
        <f aca="false">IF(COUNTA(U151:W151)&gt;0,"Yes","No")</f>
        <v>Yes</v>
      </c>
      <c r="T151" s="2" t="s">
        <v>1139</v>
      </c>
      <c r="U151" s="2" t="s">
        <v>1140</v>
      </c>
      <c r="V151" s="2"/>
      <c r="W151" s="2"/>
      <c r="X151" s="2" t="s">
        <v>1141</v>
      </c>
      <c r="Y151" s="2" t="s">
        <v>1142</v>
      </c>
      <c r="Z151" s="2" t="s">
        <v>1143</v>
      </c>
      <c r="AA151" s="2" t="s">
        <v>1030</v>
      </c>
      <c r="AB151" s="2" t="s">
        <v>1031</v>
      </c>
      <c r="AC151" s="2" t="s">
        <v>1032</v>
      </c>
      <c r="AD151" s="2" t="s">
        <v>1033</v>
      </c>
      <c r="AE151" s="2" t="s">
        <v>1034</v>
      </c>
      <c r="AF151" s="2" t="s">
        <v>45</v>
      </c>
      <c r="AG151" s="2" t="s">
        <v>45</v>
      </c>
      <c r="AH151" s="2" t="s">
        <v>45</v>
      </c>
      <c r="AI151" s="2" t="n">
        <f aca="false">COUNTIF('Needs review'!$A:$A,B151)</f>
        <v>1</v>
      </c>
    </row>
    <row r="152" customFormat="false" ht="15" hidden="false" customHeight="false" outlineLevel="0" collapsed="false">
      <c r="A152" s="2" t="s">
        <v>1144</v>
      </c>
      <c r="B152" s="2" t="s">
        <v>1145</v>
      </c>
      <c r="C152" s="2" t="s">
        <v>1022</v>
      </c>
      <c r="D152" s="2" t="s">
        <v>1023</v>
      </c>
      <c r="E152" s="2" t="s">
        <v>39</v>
      </c>
      <c r="F152" s="2" t="s">
        <v>40</v>
      </c>
      <c r="G152" s="2" t="s">
        <v>1146</v>
      </c>
      <c r="H152" s="2" t="s">
        <v>1144</v>
      </c>
      <c r="I152" s="3" t="n">
        <v>3</v>
      </c>
      <c r="J152" s="2" t="n">
        <v>2</v>
      </c>
      <c r="K152" s="4" t="n">
        <v>1173</v>
      </c>
      <c r="L152" s="5" t="n">
        <v>27</v>
      </c>
      <c r="M152" s="5" t="n">
        <v>44</v>
      </c>
      <c r="N152" s="2" t="s">
        <v>65</v>
      </c>
      <c r="O152" s="2" t="s">
        <v>657</v>
      </c>
      <c r="P152" s="6" t="s">
        <v>45</v>
      </c>
      <c r="Q152" s="2"/>
      <c r="R152" s="7"/>
      <c r="S152" s="2" t="str">
        <f aca="false">IF(COUNTA(U152:W152)&gt;0,"Yes","No")</f>
        <v>Yes</v>
      </c>
      <c r="T152" s="2" t="s">
        <v>1147</v>
      </c>
      <c r="U152" s="2" t="s">
        <v>1148</v>
      </c>
      <c r="V152" s="2"/>
      <c r="W152" s="2"/>
      <c r="X152" s="2" t="s">
        <v>1149</v>
      </c>
      <c r="Y152" s="2" t="s">
        <v>1150</v>
      </c>
      <c r="Z152" s="2" t="s">
        <v>1151</v>
      </c>
      <c r="AA152" s="2" t="s">
        <v>1030</v>
      </c>
      <c r="AB152" s="2" t="s">
        <v>1031</v>
      </c>
      <c r="AC152" s="2" t="s">
        <v>1032</v>
      </c>
      <c r="AD152" s="2" t="s">
        <v>1033</v>
      </c>
      <c r="AE152" s="2" t="s">
        <v>1034</v>
      </c>
      <c r="AF152" s="2" t="s">
        <v>45</v>
      </c>
      <c r="AG152" s="2" t="s">
        <v>45</v>
      </c>
      <c r="AH152" s="2" t="s">
        <v>45</v>
      </c>
      <c r="AI152" s="2" t="n">
        <f aca="false">COUNTIF('Needs review'!$A:$A,B152)</f>
        <v>1</v>
      </c>
    </row>
    <row r="153" customFormat="false" ht="15" hidden="false" customHeight="false" outlineLevel="0" collapsed="false">
      <c r="A153" s="2" t="s">
        <v>1152</v>
      </c>
      <c r="B153" s="2" t="s">
        <v>1153</v>
      </c>
      <c r="C153" s="2" t="s">
        <v>1022</v>
      </c>
      <c r="D153" s="2" t="s">
        <v>1023</v>
      </c>
      <c r="E153" s="2" t="s">
        <v>39</v>
      </c>
      <c r="F153" s="2" t="s">
        <v>40</v>
      </c>
      <c r="G153" s="2" t="s">
        <v>1154</v>
      </c>
      <c r="H153" s="2" t="s">
        <v>1152</v>
      </c>
      <c r="I153" s="3" t="n">
        <v>3</v>
      </c>
      <c r="J153" s="2" t="n">
        <v>2</v>
      </c>
      <c r="K153" s="4" t="n">
        <v>1176</v>
      </c>
      <c r="L153" s="5" t="n">
        <v>24</v>
      </c>
      <c r="M153" s="5" t="n">
        <v>52</v>
      </c>
      <c r="N153" s="2" t="s">
        <v>65</v>
      </c>
      <c r="O153" s="2" t="s">
        <v>1155</v>
      </c>
      <c r="P153" s="6" t="s">
        <v>45</v>
      </c>
      <c r="Q153" s="2"/>
      <c r="R153" s="7"/>
      <c r="S153" s="2" t="str">
        <f aca="false">IF(COUNTA(U153:W153)&gt;0,"Yes","No")</f>
        <v>No</v>
      </c>
      <c r="T153" s="2" t="s">
        <v>1156</v>
      </c>
      <c r="U153" s="2"/>
      <c r="V153" s="2"/>
      <c r="W153" s="2"/>
      <c r="X153" s="2" t="s">
        <v>1157</v>
      </c>
      <c r="Y153" s="2" t="s">
        <v>1158</v>
      </c>
      <c r="Z153" s="2" t="s">
        <v>1159</v>
      </c>
      <c r="AA153" s="2" t="s">
        <v>1030</v>
      </c>
      <c r="AB153" s="2" t="s">
        <v>1031</v>
      </c>
      <c r="AC153" s="2" t="s">
        <v>1032</v>
      </c>
      <c r="AD153" s="2" t="s">
        <v>1033</v>
      </c>
      <c r="AE153" s="2" t="s">
        <v>1034</v>
      </c>
      <c r="AF153" s="2" t="s">
        <v>45</v>
      </c>
      <c r="AG153" s="2" t="s">
        <v>45</v>
      </c>
      <c r="AH153" s="2" t="s">
        <v>45</v>
      </c>
      <c r="AI153" s="2" t="n">
        <f aca="false">COUNTIF('Needs review'!$A:$A,B153)</f>
        <v>1</v>
      </c>
    </row>
    <row r="154" customFormat="false" ht="15" hidden="false" customHeight="false" outlineLevel="0" collapsed="false">
      <c r="A154" s="2" t="s">
        <v>1160</v>
      </c>
      <c r="B154" s="2" t="s">
        <v>1161</v>
      </c>
      <c r="C154" s="2" t="s">
        <v>1022</v>
      </c>
      <c r="D154" s="2" t="s">
        <v>1023</v>
      </c>
      <c r="E154" s="2" t="s">
        <v>39</v>
      </c>
      <c r="F154" s="2" t="s">
        <v>40</v>
      </c>
      <c r="G154" s="2" t="s">
        <v>1162</v>
      </c>
      <c r="H154" s="2" t="s">
        <v>1160</v>
      </c>
      <c r="I154" s="3" t="n">
        <v>3</v>
      </c>
      <c r="J154" s="2" t="n">
        <v>2</v>
      </c>
      <c r="K154" s="4" t="n">
        <v>1248</v>
      </c>
      <c r="L154" s="5" t="n">
        <v>24</v>
      </c>
      <c r="M154" s="5" t="n">
        <v>52</v>
      </c>
      <c r="N154" s="2" t="s">
        <v>65</v>
      </c>
      <c r="O154" s="2" t="s">
        <v>1163</v>
      </c>
      <c r="P154" s="6" t="s">
        <v>45</v>
      </c>
      <c r="Q154" s="2"/>
      <c r="R154" s="7"/>
      <c r="S154" s="2" t="str">
        <f aca="false">IF(COUNTA(U154:W154)&gt;0,"Yes","No")</f>
        <v>Yes</v>
      </c>
      <c r="T154" s="2" t="s">
        <v>1164</v>
      </c>
      <c r="U154" s="2" t="s">
        <v>1165</v>
      </c>
      <c r="V154" s="2"/>
      <c r="W154" s="2"/>
      <c r="X154" s="2" t="s">
        <v>1166</v>
      </c>
      <c r="Y154" s="2" t="s">
        <v>1167</v>
      </c>
      <c r="Z154" s="2" t="s">
        <v>1168</v>
      </c>
      <c r="AA154" s="2" t="s">
        <v>1030</v>
      </c>
      <c r="AB154" s="2" t="s">
        <v>1031</v>
      </c>
      <c r="AC154" s="2" t="s">
        <v>1032</v>
      </c>
      <c r="AD154" s="2" t="s">
        <v>1033</v>
      </c>
      <c r="AE154" s="2" t="s">
        <v>1034</v>
      </c>
      <c r="AF154" s="2" t="s">
        <v>45</v>
      </c>
      <c r="AG154" s="2" t="s">
        <v>45</v>
      </c>
      <c r="AH154" s="2" t="s">
        <v>45</v>
      </c>
      <c r="AI154" s="2" t="n">
        <f aca="false">COUNTIF('Needs review'!$A:$A,B154)</f>
        <v>1</v>
      </c>
    </row>
    <row r="155" customFormat="false" ht="15" hidden="false" customHeight="false" outlineLevel="0" collapsed="false">
      <c r="A155" s="2" t="s">
        <v>1169</v>
      </c>
      <c r="B155" s="2" t="s">
        <v>1170</v>
      </c>
      <c r="C155" s="2" t="s">
        <v>1022</v>
      </c>
      <c r="D155" s="2" t="s">
        <v>1023</v>
      </c>
      <c r="E155" s="2" t="s">
        <v>39</v>
      </c>
      <c r="F155" s="2" t="s">
        <v>40</v>
      </c>
      <c r="G155" s="2" t="s">
        <v>1171</v>
      </c>
      <c r="H155" s="2" t="s">
        <v>1169</v>
      </c>
      <c r="I155" s="3" t="n">
        <v>3</v>
      </c>
      <c r="J155" s="2" t="n">
        <v>2</v>
      </c>
      <c r="K155" s="4" t="n">
        <v>1272</v>
      </c>
      <c r="L155" s="5" t="n">
        <v>24</v>
      </c>
      <c r="M155" s="5" t="n">
        <v>56</v>
      </c>
      <c r="N155" s="2" t="s">
        <v>65</v>
      </c>
      <c r="O155" s="2" t="s">
        <v>1172</v>
      </c>
      <c r="P155" s="6" t="s">
        <v>45</v>
      </c>
      <c r="Q155" s="2"/>
      <c r="R155" s="7"/>
      <c r="S155" s="2" t="str">
        <f aca="false">IF(COUNTA(U155:W155)&gt;0,"Yes","No")</f>
        <v>Yes</v>
      </c>
      <c r="T155" s="2" t="s">
        <v>1173</v>
      </c>
      <c r="U155" s="2" t="s">
        <v>1174</v>
      </c>
      <c r="V155" s="2"/>
      <c r="W155" s="2"/>
      <c r="X155" s="2" t="s">
        <v>1175</v>
      </c>
      <c r="Y155" s="2" t="s">
        <v>1176</v>
      </c>
      <c r="Z155" s="2" t="s">
        <v>1177</v>
      </c>
      <c r="AA155" s="2" t="s">
        <v>1030</v>
      </c>
      <c r="AB155" s="2" t="s">
        <v>1031</v>
      </c>
      <c r="AC155" s="2" t="s">
        <v>1032</v>
      </c>
      <c r="AD155" s="2" t="s">
        <v>1033</v>
      </c>
      <c r="AE155" s="2" t="s">
        <v>1034</v>
      </c>
      <c r="AF155" s="2" t="s">
        <v>45</v>
      </c>
      <c r="AG155" s="2" t="s">
        <v>45</v>
      </c>
      <c r="AH155" s="2" t="s">
        <v>45</v>
      </c>
      <c r="AI155" s="2" t="n">
        <f aca="false">COUNTIF('Needs review'!$A:$A,B155)</f>
        <v>1</v>
      </c>
    </row>
    <row r="156" customFormat="false" ht="15" hidden="false" customHeight="false" outlineLevel="0" collapsed="false">
      <c r="A156" s="2" t="s">
        <v>1178</v>
      </c>
      <c r="B156" s="2" t="s">
        <v>1179</v>
      </c>
      <c r="C156" s="2" t="s">
        <v>1022</v>
      </c>
      <c r="D156" s="2" t="s">
        <v>1023</v>
      </c>
      <c r="E156" s="2" t="s">
        <v>39</v>
      </c>
      <c r="F156" s="2" t="s">
        <v>40</v>
      </c>
      <c r="G156" s="2" t="s">
        <v>1180</v>
      </c>
      <c r="H156" s="2" t="s">
        <v>1178</v>
      </c>
      <c r="I156" s="3" t="n">
        <v>3</v>
      </c>
      <c r="J156" s="2" t="n">
        <v>2</v>
      </c>
      <c r="K156" s="4" t="n">
        <v>1280</v>
      </c>
      <c r="L156" s="5" t="n">
        <v>27</v>
      </c>
      <c r="M156" s="5" t="n">
        <v>48</v>
      </c>
      <c r="N156" s="2" t="s">
        <v>65</v>
      </c>
      <c r="O156" s="2" t="s">
        <v>665</v>
      </c>
      <c r="P156" s="6" t="s">
        <v>45</v>
      </c>
      <c r="Q156" s="2"/>
      <c r="R156" s="7"/>
      <c r="S156" s="2" t="str">
        <f aca="false">IF(COUNTA(U156:W156)&gt;0,"Yes","No")</f>
        <v>Yes</v>
      </c>
      <c r="T156" s="2" t="s">
        <v>1181</v>
      </c>
      <c r="U156" s="2" t="s">
        <v>1182</v>
      </c>
      <c r="V156" s="2"/>
      <c r="W156" s="2"/>
      <c r="X156" s="2" t="s">
        <v>1183</v>
      </c>
      <c r="Y156" s="2" t="s">
        <v>1184</v>
      </c>
      <c r="Z156" s="2" t="s">
        <v>1185</v>
      </c>
      <c r="AA156" s="2" t="s">
        <v>1030</v>
      </c>
      <c r="AB156" s="2" t="s">
        <v>1031</v>
      </c>
      <c r="AC156" s="2" t="s">
        <v>1032</v>
      </c>
      <c r="AD156" s="2" t="s">
        <v>1033</v>
      </c>
      <c r="AE156" s="2" t="s">
        <v>1034</v>
      </c>
      <c r="AF156" s="2" t="s">
        <v>45</v>
      </c>
      <c r="AG156" s="2" t="s">
        <v>45</v>
      </c>
      <c r="AH156" s="2" t="s">
        <v>45</v>
      </c>
      <c r="AI156" s="2" t="n">
        <f aca="false">COUNTIF('Needs review'!$A:$A,B156)</f>
        <v>1</v>
      </c>
    </row>
    <row r="157" customFormat="false" ht="15" hidden="false" customHeight="false" outlineLevel="0" collapsed="false">
      <c r="A157" s="2" t="s">
        <v>1186</v>
      </c>
      <c r="B157" s="2" t="s">
        <v>1187</v>
      </c>
      <c r="C157" s="2" t="s">
        <v>1022</v>
      </c>
      <c r="D157" s="2" t="s">
        <v>1023</v>
      </c>
      <c r="E157" s="2" t="s">
        <v>39</v>
      </c>
      <c r="F157" s="2" t="s">
        <v>40</v>
      </c>
      <c r="G157" s="2" t="s">
        <v>1188</v>
      </c>
      <c r="H157" s="2" t="s">
        <v>1186</v>
      </c>
      <c r="I157" s="3" t="n">
        <v>3</v>
      </c>
      <c r="J157" s="2" t="n">
        <v>2</v>
      </c>
      <c r="K157" s="4" t="n">
        <v>1306</v>
      </c>
      <c r="L157" s="5" t="n">
        <v>27</v>
      </c>
      <c r="M157" s="5" t="n">
        <v>52</v>
      </c>
      <c r="N157" s="2" t="s">
        <v>65</v>
      </c>
      <c r="O157" s="2" t="s">
        <v>1189</v>
      </c>
      <c r="P157" s="6" t="s">
        <v>45</v>
      </c>
      <c r="Q157" s="2"/>
      <c r="R157" s="7"/>
      <c r="S157" s="2" t="str">
        <f aca="false">IF(COUNTA(U157:W157)&gt;0,"Yes","No")</f>
        <v>Yes</v>
      </c>
      <c r="T157" s="2" t="s">
        <v>1190</v>
      </c>
      <c r="U157" s="2" t="s">
        <v>1191</v>
      </c>
      <c r="V157" s="2"/>
      <c r="W157" s="2"/>
      <c r="X157" s="2" t="s">
        <v>1192</v>
      </c>
      <c r="Y157" s="2" t="s">
        <v>1193</v>
      </c>
      <c r="Z157" s="2" t="s">
        <v>1194</v>
      </c>
      <c r="AA157" s="2" t="s">
        <v>1030</v>
      </c>
      <c r="AB157" s="2" t="s">
        <v>1031</v>
      </c>
      <c r="AC157" s="2" t="s">
        <v>1032</v>
      </c>
      <c r="AD157" s="2" t="s">
        <v>1033</v>
      </c>
      <c r="AE157" s="2" t="s">
        <v>1034</v>
      </c>
      <c r="AF157" s="2" t="s">
        <v>45</v>
      </c>
      <c r="AG157" s="2" t="s">
        <v>45</v>
      </c>
      <c r="AH157" s="2" t="s">
        <v>45</v>
      </c>
      <c r="AI157" s="2" t="n">
        <f aca="false">COUNTIF('Needs review'!$A:$A,B157)</f>
        <v>1</v>
      </c>
    </row>
    <row r="158" customFormat="false" ht="15" hidden="false" customHeight="false" outlineLevel="0" collapsed="false">
      <c r="A158" s="2" t="s">
        <v>1195</v>
      </c>
      <c r="B158" s="2" t="s">
        <v>1196</v>
      </c>
      <c r="C158" s="2" t="s">
        <v>1022</v>
      </c>
      <c r="D158" s="2" t="s">
        <v>1023</v>
      </c>
      <c r="E158" s="2" t="s">
        <v>39</v>
      </c>
      <c r="F158" s="2" t="s">
        <v>40</v>
      </c>
      <c r="G158" s="2" t="s">
        <v>1197</v>
      </c>
      <c r="H158" s="2" t="s">
        <v>1195</v>
      </c>
      <c r="I158" s="3" t="n">
        <v>3</v>
      </c>
      <c r="J158" s="2" t="n">
        <v>2</v>
      </c>
      <c r="K158" s="4" t="n">
        <v>1344</v>
      </c>
      <c r="L158" s="5" t="n">
        <v>24</v>
      </c>
      <c r="M158" s="5" t="n">
        <v>56</v>
      </c>
      <c r="N158" s="2" t="s">
        <v>65</v>
      </c>
      <c r="O158" s="2" t="s">
        <v>695</v>
      </c>
      <c r="P158" s="6" t="s">
        <v>45</v>
      </c>
      <c r="Q158" s="2"/>
      <c r="R158" s="7"/>
      <c r="S158" s="2" t="str">
        <f aca="false">IF(COUNTA(U158:W158)&gt;0,"Yes","No")</f>
        <v>Yes</v>
      </c>
      <c r="T158" s="2" t="s">
        <v>1198</v>
      </c>
      <c r="U158" s="2" t="s">
        <v>1199</v>
      </c>
      <c r="V158" s="2"/>
      <c r="W158" s="2"/>
      <c r="X158" s="2" t="s">
        <v>1200</v>
      </c>
      <c r="Y158" s="2" t="s">
        <v>1201</v>
      </c>
      <c r="Z158" s="2" t="s">
        <v>1202</v>
      </c>
      <c r="AA158" s="2" t="s">
        <v>1030</v>
      </c>
      <c r="AB158" s="2" t="s">
        <v>1031</v>
      </c>
      <c r="AC158" s="2" t="s">
        <v>1032</v>
      </c>
      <c r="AD158" s="2" t="s">
        <v>1033</v>
      </c>
      <c r="AE158" s="2" t="s">
        <v>1034</v>
      </c>
      <c r="AF158" s="2" t="s">
        <v>45</v>
      </c>
      <c r="AG158" s="2" t="s">
        <v>45</v>
      </c>
      <c r="AH158" s="2" t="s">
        <v>45</v>
      </c>
      <c r="AI158" s="2" t="n">
        <f aca="false">COUNTIF('Needs review'!$A:$A,B158)</f>
        <v>1</v>
      </c>
    </row>
    <row r="159" customFormat="false" ht="15" hidden="false" customHeight="false" outlineLevel="0" collapsed="false">
      <c r="A159" s="2" t="s">
        <v>1203</v>
      </c>
      <c r="B159" s="2" t="s">
        <v>1204</v>
      </c>
      <c r="C159" s="2" t="s">
        <v>1022</v>
      </c>
      <c r="D159" s="2" t="s">
        <v>1023</v>
      </c>
      <c r="E159" s="2" t="s">
        <v>39</v>
      </c>
      <c r="F159" s="2" t="s">
        <v>40</v>
      </c>
      <c r="G159" s="2" t="s">
        <v>1205</v>
      </c>
      <c r="H159" s="2" t="s">
        <v>1203</v>
      </c>
      <c r="I159" s="3" t="n">
        <v>3</v>
      </c>
      <c r="J159" s="2" t="n">
        <v>2</v>
      </c>
      <c r="K159" s="4" t="n">
        <v>1387</v>
      </c>
      <c r="L159" s="5" t="n">
        <v>27</v>
      </c>
      <c r="M159" s="5" t="n">
        <v>52</v>
      </c>
      <c r="N159" s="2" t="s">
        <v>65</v>
      </c>
      <c r="O159" s="2" t="s">
        <v>936</v>
      </c>
      <c r="P159" s="6" t="s">
        <v>45</v>
      </c>
      <c r="Q159" s="2"/>
      <c r="R159" s="7"/>
      <c r="S159" s="2" t="str">
        <f aca="false">IF(COUNTA(U159:W159)&gt;0,"Yes","No")</f>
        <v>No</v>
      </c>
      <c r="T159" s="2" t="s">
        <v>1206</v>
      </c>
      <c r="U159" s="2"/>
      <c r="V159" s="2"/>
      <c r="W159" s="2"/>
      <c r="X159" s="2" t="s">
        <v>1207</v>
      </c>
      <c r="Y159" s="2" t="s">
        <v>1208</v>
      </c>
      <c r="Z159" s="2" t="s">
        <v>1209</v>
      </c>
      <c r="AA159" s="2" t="s">
        <v>1030</v>
      </c>
      <c r="AB159" s="2" t="s">
        <v>1031</v>
      </c>
      <c r="AC159" s="2" t="s">
        <v>1032</v>
      </c>
      <c r="AD159" s="2" t="s">
        <v>1033</v>
      </c>
      <c r="AE159" s="2" t="s">
        <v>1034</v>
      </c>
      <c r="AF159" s="2" t="s">
        <v>45</v>
      </c>
      <c r="AG159" s="2" t="s">
        <v>45</v>
      </c>
      <c r="AH159" s="2" t="s">
        <v>45</v>
      </c>
      <c r="AI159" s="2" t="n">
        <f aca="false">COUNTIF('Needs review'!$A:$A,B159)</f>
        <v>1</v>
      </c>
    </row>
    <row r="160" customFormat="false" ht="15" hidden="false" customHeight="false" outlineLevel="0" collapsed="false">
      <c r="A160" s="2" t="s">
        <v>1210</v>
      </c>
      <c r="B160" s="2" t="s">
        <v>1211</v>
      </c>
      <c r="C160" s="2" t="s">
        <v>1022</v>
      </c>
      <c r="D160" s="2" t="s">
        <v>1023</v>
      </c>
      <c r="E160" s="2" t="s">
        <v>39</v>
      </c>
      <c r="F160" s="2" t="s">
        <v>40</v>
      </c>
      <c r="G160" s="2" t="s">
        <v>1212</v>
      </c>
      <c r="H160" s="2" t="s">
        <v>1210</v>
      </c>
      <c r="I160" s="3" t="n">
        <v>3</v>
      </c>
      <c r="J160" s="2" t="n">
        <v>2</v>
      </c>
      <c r="K160" s="4" t="n">
        <v>1414</v>
      </c>
      <c r="L160" s="5" t="n">
        <v>27</v>
      </c>
      <c r="M160" s="5" t="n">
        <v>56</v>
      </c>
      <c r="N160" s="2" t="s">
        <v>65</v>
      </c>
      <c r="O160" s="2" t="s">
        <v>1213</v>
      </c>
      <c r="P160" s="6" t="s">
        <v>45</v>
      </c>
      <c r="Q160" s="2"/>
      <c r="R160" s="7"/>
      <c r="S160" s="2" t="str">
        <f aca="false">IF(COUNTA(U160:W160)&gt;0,"Yes","No")</f>
        <v>Yes</v>
      </c>
      <c r="T160" s="2" t="s">
        <v>1214</v>
      </c>
      <c r="U160" s="2" t="s">
        <v>1215</v>
      </c>
      <c r="V160" s="2" t="s">
        <v>1216</v>
      </c>
      <c r="W160" s="2"/>
      <c r="X160" s="2" t="s">
        <v>1217</v>
      </c>
      <c r="Y160" s="2" t="s">
        <v>1218</v>
      </c>
      <c r="Z160" s="2" t="s">
        <v>1219</v>
      </c>
      <c r="AA160" s="2" t="s">
        <v>1030</v>
      </c>
      <c r="AB160" s="2" t="s">
        <v>1031</v>
      </c>
      <c r="AC160" s="2" t="s">
        <v>1032</v>
      </c>
      <c r="AD160" s="2" t="s">
        <v>1033</v>
      </c>
      <c r="AE160" s="2" t="s">
        <v>1034</v>
      </c>
      <c r="AF160" s="2" t="s">
        <v>45</v>
      </c>
      <c r="AG160" s="2" t="s">
        <v>45</v>
      </c>
      <c r="AH160" s="2" t="s">
        <v>45</v>
      </c>
      <c r="AI160" s="2" t="n">
        <f aca="false">COUNTIF('Needs review'!$A:$A,B160)</f>
        <v>1</v>
      </c>
    </row>
    <row r="161" customFormat="false" ht="15" hidden="false" customHeight="false" outlineLevel="0" collapsed="false">
      <c r="A161" s="2" t="s">
        <v>1220</v>
      </c>
      <c r="B161" s="2" t="s">
        <v>1221</v>
      </c>
      <c r="C161" s="2" t="s">
        <v>1022</v>
      </c>
      <c r="D161" s="2" t="s">
        <v>1023</v>
      </c>
      <c r="E161" s="2" t="s">
        <v>39</v>
      </c>
      <c r="F161" s="2" t="s">
        <v>40</v>
      </c>
      <c r="G161" s="2"/>
      <c r="H161" s="2" t="s">
        <v>1220</v>
      </c>
      <c r="I161" s="3"/>
      <c r="J161" s="2"/>
      <c r="K161" s="4" t="n">
        <v>1493</v>
      </c>
      <c r="L161" s="5" t="n">
        <v>27</v>
      </c>
      <c r="M161" s="5" t="n">
        <v>56</v>
      </c>
      <c r="N161" s="2" t="s">
        <v>65</v>
      </c>
      <c r="O161" s="2" t="s">
        <v>1222</v>
      </c>
      <c r="P161" s="6" t="s">
        <v>122</v>
      </c>
      <c r="Q161" s="2" t="s">
        <v>513</v>
      </c>
      <c r="R161" s="7"/>
      <c r="S161" s="2" t="str">
        <f aca="false">IF(COUNTA(U161:W161)&gt;0,"Yes","No")</f>
        <v>No</v>
      </c>
      <c r="T161" s="2" t="s">
        <v>1223</v>
      </c>
      <c r="U161" s="2"/>
      <c r="V161" s="2"/>
      <c r="W161" s="2"/>
      <c r="X161" s="2"/>
      <c r="Y161" s="2"/>
      <c r="Z161" s="2"/>
      <c r="AA161" s="2" t="s">
        <v>1030</v>
      </c>
      <c r="AB161" s="2" t="s">
        <v>1031</v>
      </c>
      <c r="AC161" s="2" t="s">
        <v>1032</v>
      </c>
      <c r="AD161" s="2" t="s">
        <v>1033</v>
      </c>
      <c r="AE161" s="2" t="s">
        <v>1034</v>
      </c>
      <c r="AF161" s="2" t="s">
        <v>45</v>
      </c>
      <c r="AG161" s="2" t="s">
        <v>45</v>
      </c>
      <c r="AH161" s="2" t="s">
        <v>45</v>
      </c>
      <c r="AI161" s="2" t="n">
        <f aca="false">COUNTIF('Needs review'!$A:$A,B161)</f>
        <v>1</v>
      </c>
    </row>
    <row r="162" customFormat="false" ht="15" hidden="false" customHeight="false" outlineLevel="0" collapsed="false">
      <c r="A162" s="2" t="s">
        <v>1224</v>
      </c>
      <c r="B162" s="2" t="s">
        <v>1225</v>
      </c>
      <c r="C162" s="2" t="s">
        <v>1022</v>
      </c>
      <c r="D162" s="2" t="s">
        <v>1023</v>
      </c>
      <c r="E162" s="2" t="s">
        <v>39</v>
      </c>
      <c r="F162" s="2" t="s">
        <v>40</v>
      </c>
      <c r="G162" s="2"/>
      <c r="H162" s="2" t="s">
        <v>1224</v>
      </c>
      <c r="I162" s="3" t="n">
        <v>3</v>
      </c>
      <c r="J162" s="2" t="n">
        <v>2</v>
      </c>
      <c r="K162" s="4" t="n">
        <v>1493</v>
      </c>
      <c r="L162" s="5" t="n">
        <v>27</v>
      </c>
      <c r="M162" s="5" t="n">
        <v>56</v>
      </c>
      <c r="N162" s="2" t="s">
        <v>65</v>
      </c>
      <c r="O162" s="2" t="s">
        <v>703</v>
      </c>
      <c r="P162" s="6" t="s">
        <v>45</v>
      </c>
      <c r="Q162" s="2"/>
      <c r="R162" s="7"/>
      <c r="S162" s="2" t="str">
        <f aca="false">IF(COUNTA(U162:W162)&gt;0,"Yes","No")</f>
        <v>Yes</v>
      </c>
      <c r="T162" s="2" t="s">
        <v>1226</v>
      </c>
      <c r="U162" s="2" t="s">
        <v>1227</v>
      </c>
      <c r="V162" s="2"/>
      <c r="W162" s="2"/>
      <c r="X162" s="2" t="s">
        <v>1228</v>
      </c>
      <c r="Y162" s="2" t="s">
        <v>1228</v>
      </c>
      <c r="Z162" s="2" t="s">
        <v>1229</v>
      </c>
      <c r="AA162" s="2" t="s">
        <v>1030</v>
      </c>
      <c r="AB162" s="2" t="s">
        <v>1031</v>
      </c>
      <c r="AC162" s="2" t="s">
        <v>1032</v>
      </c>
      <c r="AD162" s="2" t="s">
        <v>1033</v>
      </c>
      <c r="AE162" s="2" t="s">
        <v>1034</v>
      </c>
      <c r="AF162" s="2" t="s">
        <v>45</v>
      </c>
      <c r="AG162" s="2" t="s">
        <v>45</v>
      </c>
      <c r="AH162" s="2" t="s">
        <v>45</v>
      </c>
      <c r="AI162" s="2" t="n">
        <f aca="false">COUNTIF('Needs review'!$A:$A,B162)</f>
        <v>2</v>
      </c>
    </row>
    <row r="163" customFormat="false" ht="15" hidden="false" customHeight="false" outlineLevel="0" collapsed="false">
      <c r="A163" s="2" t="s">
        <v>1230</v>
      </c>
      <c r="B163" s="2" t="s">
        <v>1231</v>
      </c>
      <c r="C163" s="2" t="s">
        <v>1022</v>
      </c>
      <c r="D163" s="2" t="s">
        <v>1023</v>
      </c>
      <c r="E163" s="2" t="s">
        <v>39</v>
      </c>
      <c r="F163" s="2" t="s">
        <v>40</v>
      </c>
      <c r="G163" s="2"/>
      <c r="H163" s="2" t="s">
        <v>1230</v>
      </c>
      <c r="I163" s="3" t="n">
        <v>4</v>
      </c>
      <c r="J163" s="2" t="n">
        <v>2</v>
      </c>
      <c r="K163" s="4" t="n">
        <v>1600</v>
      </c>
      <c r="L163" s="5" t="n">
        <v>27</v>
      </c>
      <c r="M163" s="5" t="n">
        <v>60</v>
      </c>
      <c r="N163" s="2" t="s">
        <v>65</v>
      </c>
      <c r="O163" s="2" t="s">
        <v>1232</v>
      </c>
      <c r="P163" s="6" t="s">
        <v>45</v>
      </c>
      <c r="Q163" s="2"/>
      <c r="R163" s="7"/>
      <c r="S163" s="2" t="str">
        <f aca="false">IF(COUNTA(U163:W163)&gt;0,"Yes","No")</f>
        <v>Yes</v>
      </c>
      <c r="T163" s="2" t="s">
        <v>1233</v>
      </c>
      <c r="U163" s="2" t="s">
        <v>1234</v>
      </c>
      <c r="V163" s="2"/>
      <c r="W163" s="2"/>
      <c r="X163" s="2" t="s">
        <v>1235</v>
      </c>
      <c r="Y163" s="2" t="s">
        <v>1235</v>
      </c>
      <c r="Z163" s="2" t="s">
        <v>1236</v>
      </c>
      <c r="AA163" s="2" t="s">
        <v>1030</v>
      </c>
      <c r="AB163" s="2" t="s">
        <v>1031</v>
      </c>
      <c r="AC163" s="2" t="s">
        <v>1032</v>
      </c>
      <c r="AD163" s="2" t="s">
        <v>1033</v>
      </c>
      <c r="AE163" s="2" t="s">
        <v>1034</v>
      </c>
      <c r="AF163" s="2" t="s">
        <v>45</v>
      </c>
      <c r="AG163" s="2" t="s">
        <v>45</v>
      </c>
      <c r="AH163" s="2" t="s">
        <v>45</v>
      </c>
      <c r="AI163" s="2" t="n">
        <f aca="false">COUNTIF('Needs review'!$A:$A,B163)</f>
        <v>2</v>
      </c>
    </row>
    <row r="164" customFormat="false" ht="15" hidden="false" customHeight="false" outlineLevel="0" collapsed="false">
      <c r="A164" s="2" t="s">
        <v>1237</v>
      </c>
      <c r="B164" s="2" t="s">
        <v>1238</v>
      </c>
      <c r="C164" s="2" t="s">
        <v>1022</v>
      </c>
      <c r="D164" s="2" t="s">
        <v>1023</v>
      </c>
      <c r="E164" s="2" t="s">
        <v>39</v>
      </c>
      <c r="F164" s="2" t="s">
        <v>40</v>
      </c>
      <c r="G164" s="2" t="s">
        <v>1239</v>
      </c>
      <c r="H164" s="2" t="s">
        <v>1237</v>
      </c>
      <c r="I164" s="3" t="n">
        <v>3</v>
      </c>
      <c r="J164" s="2" t="n">
        <v>2</v>
      </c>
      <c r="K164" s="4" t="n">
        <v>1680</v>
      </c>
      <c r="L164" s="5" t="n">
        <v>30</v>
      </c>
      <c r="M164" s="5" t="n">
        <v>56</v>
      </c>
      <c r="N164" s="2" t="s">
        <v>65</v>
      </c>
      <c r="O164" s="2" t="s">
        <v>794</v>
      </c>
      <c r="P164" s="6" t="s">
        <v>45</v>
      </c>
      <c r="Q164" s="2"/>
      <c r="R164" s="7"/>
      <c r="S164" s="2" t="str">
        <f aca="false">IF(COUNTA(U164:W164)&gt;0,"Yes","No")</f>
        <v>Yes</v>
      </c>
      <c r="T164" s="2" t="s">
        <v>1240</v>
      </c>
      <c r="U164" s="2" t="s">
        <v>1241</v>
      </c>
      <c r="V164" s="2"/>
      <c r="W164" s="2"/>
      <c r="X164" s="2" t="s">
        <v>1242</v>
      </c>
      <c r="Y164" s="2" t="s">
        <v>1243</v>
      </c>
      <c r="Z164" s="2" t="s">
        <v>1244</v>
      </c>
      <c r="AA164" s="2" t="s">
        <v>1030</v>
      </c>
      <c r="AB164" s="2" t="s">
        <v>1031</v>
      </c>
      <c r="AC164" s="2" t="s">
        <v>1032</v>
      </c>
      <c r="AD164" s="2" t="s">
        <v>1033</v>
      </c>
      <c r="AE164" s="2" t="s">
        <v>1034</v>
      </c>
      <c r="AF164" s="2" t="s">
        <v>45</v>
      </c>
      <c r="AG164" s="2" t="s">
        <v>45</v>
      </c>
      <c r="AH164" s="2" t="s">
        <v>45</v>
      </c>
      <c r="AI164" s="2" t="n">
        <f aca="false">COUNTIF('Needs review'!$A:$A,B164)</f>
        <v>1</v>
      </c>
    </row>
    <row r="165" customFormat="false" ht="15" hidden="false" customHeight="false" outlineLevel="0" collapsed="false">
      <c r="A165" s="2" t="s">
        <v>1245</v>
      </c>
      <c r="B165" s="2" t="s">
        <v>1246</v>
      </c>
      <c r="C165" s="2" t="s">
        <v>1022</v>
      </c>
      <c r="D165" s="2" t="s">
        <v>1023</v>
      </c>
      <c r="E165" s="2" t="s">
        <v>39</v>
      </c>
      <c r="F165" s="2" t="s">
        <v>40</v>
      </c>
      <c r="G165" s="2" t="s">
        <v>1247</v>
      </c>
      <c r="H165" s="2" t="s">
        <v>1245</v>
      </c>
      <c r="I165" s="3" t="n">
        <v>3</v>
      </c>
      <c r="J165" s="2" t="n">
        <v>2</v>
      </c>
      <c r="K165" s="4" t="n">
        <v>1760</v>
      </c>
      <c r="L165" s="5" t="n">
        <v>27</v>
      </c>
      <c r="M165" s="5" t="n">
        <v>66</v>
      </c>
      <c r="N165" s="2" t="s">
        <v>65</v>
      </c>
      <c r="O165" s="2" t="s">
        <v>1248</v>
      </c>
      <c r="P165" s="6" t="s">
        <v>45</v>
      </c>
      <c r="Q165" s="2"/>
      <c r="R165" s="7"/>
      <c r="S165" s="2" t="str">
        <f aca="false">IF(COUNTA(U165:W165)&gt;0,"Yes","No")</f>
        <v>Yes</v>
      </c>
      <c r="T165" s="2" t="s">
        <v>1249</v>
      </c>
      <c r="U165" s="2" t="s">
        <v>1250</v>
      </c>
      <c r="V165" s="2"/>
      <c r="W165" s="2"/>
      <c r="X165" s="2" t="s">
        <v>1251</v>
      </c>
      <c r="Y165" s="2" t="s">
        <v>1252</v>
      </c>
      <c r="Z165" s="2" t="s">
        <v>1253</v>
      </c>
      <c r="AA165" s="2" t="s">
        <v>1030</v>
      </c>
      <c r="AB165" s="2" t="s">
        <v>1031</v>
      </c>
      <c r="AC165" s="2" t="s">
        <v>1032</v>
      </c>
      <c r="AD165" s="2" t="s">
        <v>1033</v>
      </c>
      <c r="AE165" s="2" t="s">
        <v>1034</v>
      </c>
      <c r="AF165" s="2" t="s">
        <v>45</v>
      </c>
      <c r="AG165" s="2" t="s">
        <v>45</v>
      </c>
      <c r="AH165" s="2" t="s">
        <v>45</v>
      </c>
      <c r="AI165" s="2" t="n">
        <f aca="false">COUNTIF('Needs review'!$A:$A,B165)</f>
        <v>2</v>
      </c>
    </row>
    <row r="166" customFormat="false" ht="15" hidden="false" customHeight="false" outlineLevel="0" collapsed="false">
      <c r="A166" s="2" t="s">
        <v>1254</v>
      </c>
      <c r="B166" s="2" t="s">
        <v>1255</v>
      </c>
      <c r="C166" s="2" t="s">
        <v>1022</v>
      </c>
      <c r="D166" s="2" t="s">
        <v>1023</v>
      </c>
      <c r="E166" s="2" t="s">
        <v>39</v>
      </c>
      <c r="F166" s="2" t="s">
        <v>40</v>
      </c>
      <c r="G166" s="2"/>
      <c r="H166" s="2" t="s">
        <v>1254</v>
      </c>
      <c r="I166" s="3" t="n">
        <v>4</v>
      </c>
      <c r="J166" s="2" t="n">
        <v>2</v>
      </c>
      <c r="K166" s="4" t="n">
        <v>1920</v>
      </c>
      <c r="L166" s="5" t="n">
        <v>26.67</v>
      </c>
      <c r="M166" s="5" t="n">
        <v>72</v>
      </c>
      <c r="N166" s="2" t="s">
        <v>65</v>
      </c>
      <c r="O166" s="2" t="s">
        <v>916</v>
      </c>
      <c r="P166" s="6" t="s">
        <v>45</v>
      </c>
      <c r="Q166" s="2"/>
      <c r="R166" s="7"/>
      <c r="S166" s="2" t="str">
        <f aca="false">IF(COUNTA(U166:W166)&gt;0,"Yes","No")</f>
        <v>Yes</v>
      </c>
      <c r="T166" s="2" t="s">
        <v>1256</v>
      </c>
      <c r="U166" s="2" t="s">
        <v>1257</v>
      </c>
      <c r="V166" s="2"/>
      <c r="W166" s="2"/>
      <c r="X166" s="2" t="s">
        <v>1258</v>
      </c>
      <c r="Y166" s="2" t="s">
        <v>1258</v>
      </c>
      <c r="Z166" s="2" t="s">
        <v>1259</v>
      </c>
      <c r="AA166" s="2" t="s">
        <v>1030</v>
      </c>
      <c r="AB166" s="2" t="s">
        <v>1031</v>
      </c>
      <c r="AC166" s="2" t="s">
        <v>1032</v>
      </c>
      <c r="AD166" s="2" t="s">
        <v>1033</v>
      </c>
      <c r="AE166" s="2" t="s">
        <v>1034</v>
      </c>
      <c r="AF166" s="2" t="s">
        <v>45</v>
      </c>
      <c r="AG166" s="2" t="s">
        <v>45</v>
      </c>
      <c r="AH166" s="2" t="s">
        <v>45</v>
      </c>
      <c r="AI166" s="2" t="n">
        <f aca="false">COUNTIF('Needs review'!$A:$A,B166)</f>
        <v>0</v>
      </c>
    </row>
    <row r="167" customFormat="false" ht="15" hidden="false" customHeight="false" outlineLevel="0" collapsed="false">
      <c r="A167" s="2" t="s">
        <v>1260</v>
      </c>
      <c r="B167" s="2" t="s">
        <v>1261</v>
      </c>
      <c r="C167" s="2" t="s">
        <v>1022</v>
      </c>
      <c r="D167" s="2" t="s">
        <v>1023</v>
      </c>
      <c r="E167" s="2" t="s">
        <v>39</v>
      </c>
      <c r="F167" s="2" t="s">
        <v>40</v>
      </c>
      <c r="G167" s="2"/>
      <c r="H167" s="2" t="s">
        <v>1260</v>
      </c>
      <c r="I167" s="3" t="n">
        <v>5</v>
      </c>
      <c r="J167" s="2" t="n">
        <v>2</v>
      </c>
      <c r="K167" s="4" t="n">
        <v>2052</v>
      </c>
      <c r="L167" s="5" t="n">
        <v>27</v>
      </c>
      <c r="M167" s="5" t="n">
        <v>76</v>
      </c>
      <c r="N167" s="2" t="s">
        <v>65</v>
      </c>
      <c r="O167" s="2" t="s">
        <v>1262</v>
      </c>
      <c r="P167" s="6" t="s">
        <v>45</v>
      </c>
      <c r="Q167" s="2"/>
      <c r="R167" s="7"/>
      <c r="S167" s="2" t="str">
        <f aca="false">IF(COUNTA(U167:W167)&gt;0,"Yes","No")</f>
        <v>No</v>
      </c>
      <c r="T167" s="2" t="s">
        <v>1263</v>
      </c>
      <c r="U167" s="2"/>
      <c r="V167" s="2"/>
      <c r="W167" s="2"/>
      <c r="X167" s="2" t="s">
        <v>1264</v>
      </c>
      <c r="Y167" s="2" t="s">
        <v>1264</v>
      </c>
      <c r="Z167" s="2" t="s">
        <v>1265</v>
      </c>
      <c r="AA167" s="2" t="s">
        <v>1030</v>
      </c>
      <c r="AB167" s="2" t="s">
        <v>1031</v>
      </c>
      <c r="AC167" s="2" t="s">
        <v>1032</v>
      </c>
      <c r="AD167" s="2" t="s">
        <v>1033</v>
      </c>
      <c r="AE167" s="2" t="s">
        <v>1034</v>
      </c>
      <c r="AF167" s="2" t="s">
        <v>45</v>
      </c>
      <c r="AG167" s="2" t="s">
        <v>45</v>
      </c>
      <c r="AH167" s="2" t="s">
        <v>45</v>
      </c>
      <c r="AI167" s="2" t="n">
        <f aca="false">COUNTIF('Needs review'!$A:$A,B167)</f>
        <v>0</v>
      </c>
    </row>
  </sheetData>
  <autoFilter ref="A1:AI167"/>
  <dataValidations count="1">
    <dataValidation allowBlank="false" errorStyle="stop" operator="between" showDropDown="false" showErrorMessage="false" showInputMessage="false" sqref="P2:P1000"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0"/>
    <col collapsed="false" customWidth="true" hidden="false" outlineLevel="0" max="3" min="3" style="0" width="22"/>
    <col collapsed="false" customWidth="true" hidden="false" outlineLevel="0" max="4" min="4" style="0" width="110"/>
    <col collapsed="false" customWidth="true" hidden="false" outlineLevel="0" max="5" min="5" style="0" width="24"/>
  </cols>
  <sheetData>
    <row r="1" customFormat="false" ht="15" hidden="false" customHeight="false" outlineLevel="0" collapsed="false">
      <c r="A1" s="8" t="s">
        <v>1</v>
      </c>
      <c r="B1" s="8" t="s">
        <v>0</v>
      </c>
      <c r="C1" s="8" t="s">
        <v>1266</v>
      </c>
      <c r="D1" s="8" t="s">
        <v>1267</v>
      </c>
      <c r="E1" s="8" t="s">
        <v>1268</v>
      </c>
    </row>
    <row r="2" customFormat="false" ht="15" hidden="false" customHeight="false" outlineLevel="0" collapsed="false">
      <c r="A2" s="2" t="s">
        <v>119</v>
      </c>
      <c r="B2" s="2" t="s">
        <v>118</v>
      </c>
      <c r="C2" s="2" t="s">
        <v>1269</v>
      </c>
      <c r="D2" s="2" t="s">
        <v>1270</v>
      </c>
      <c r="E2" s="6"/>
    </row>
    <row r="3" customFormat="false" ht="15" hidden="false" customHeight="false" outlineLevel="0" collapsed="false">
      <c r="A3" s="2" t="s">
        <v>606</v>
      </c>
      <c r="B3" s="2" t="s">
        <v>605</v>
      </c>
      <c r="C3" s="2" t="s">
        <v>1269</v>
      </c>
      <c r="D3" s="2" t="s">
        <v>1270</v>
      </c>
      <c r="E3" s="6"/>
    </row>
    <row r="4" customFormat="false" ht="15" hidden="false" customHeight="false" outlineLevel="0" collapsed="false">
      <c r="A4" s="2" t="s">
        <v>1221</v>
      </c>
      <c r="B4" s="2" t="s">
        <v>1220</v>
      </c>
      <c r="C4" s="2" t="s">
        <v>1271</v>
      </c>
      <c r="D4" s="2" t="s">
        <v>1272</v>
      </c>
      <c r="E4" s="6"/>
    </row>
    <row r="5" customFormat="false" ht="15" hidden="false" customHeight="false" outlineLevel="0" collapsed="false">
      <c r="A5" s="2" t="s">
        <v>510</v>
      </c>
      <c r="B5" s="2" t="s">
        <v>509</v>
      </c>
      <c r="C5" s="2" t="s">
        <v>1271</v>
      </c>
      <c r="D5" s="2" t="s">
        <v>1272</v>
      </c>
      <c r="E5" s="6"/>
    </row>
    <row r="6" customFormat="false" ht="15" hidden="false" customHeight="false" outlineLevel="0" collapsed="false">
      <c r="A6" s="2" t="s">
        <v>785</v>
      </c>
      <c r="B6" s="2" t="s">
        <v>784</v>
      </c>
      <c r="C6" s="2" t="s">
        <v>1271</v>
      </c>
      <c r="D6" s="2" t="s">
        <v>1272</v>
      </c>
      <c r="E6" s="6"/>
    </row>
    <row r="7" customFormat="false" ht="15" hidden="false" customHeight="false" outlineLevel="0" collapsed="false">
      <c r="A7" s="2" t="s">
        <v>788</v>
      </c>
      <c r="B7" s="2" t="s">
        <v>787</v>
      </c>
      <c r="C7" s="2" t="s">
        <v>1271</v>
      </c>
      <c r="D7" s="2" t="s">
        <v>1272</v>
      </c>
      <c r="E7" s="6"/>
    </row>
    <row r="8" customFormat="false" ht="15" hidden="false" customHeight="false" outlineLevel="0" collapsed="false">
      <c r="A8" s="2" t="s">
        <v>793</v>
      </c>
      <c r="B8" s="2" t="s">
        <v>792</v>
      </c>
      <c r="C8" s="2" t="s">
        <v>1271</v>
      </c>
      <c r="D8" s="2" t="s">
        <v>1272</v>
      </c>
      <c r="E8" s="6"/>
    </row>
    <row r="9" customFormat="false" ht="15" hidden="false" customHeight="false" outlineLevel="0" collapsed="false">
      <c r="A9" s="2" t="s">
        <v>796</v>
      </c>
      <c r="B9" s="2" t="s">
        <v>795</v>
      </c>
      <c r="C9" s="2" t="s">
        <v>1271</v>
      </c>
      <c r="D9" s="2" t="s">
        <v>1272</v>
      </c>
      <c r="E9" s="6"/>
    </row>
    <row r="10" customFormat="false" ht="15" hidden="false" customHeight="false" outlineLevel="0" collapsed="false">
      <c r="A10" s="2" t="s">
        <v>798</v>
      </c>
      <c r="B10" s="2" t="s">
        <v>797</v>
      </c>
      <c r="C10" s="2" t="s">
        <v>1271</v>
      </c>
      <c r="D10" s="2" t="s">
        <v>1272</v>
      </c>
      <c r="E10" s="6"/>
    </row>
    <row r="11" customFormat="false" ht="15" hidden="false" customHeight="false" outlineLevel="0" collapsed="false">
      <c r="A11" s="2" t="s">
        <v>800</v>
      </c>
      <c r="B11" s="2" t="s">
        <v>799</v>
      </c>
      <c r="C11" s="2" t="s">
        <v>1271</v>
      </c>
      <c r="D11" s="2" t="s">
        <v>1272</v>
      </c>
      <c r="E11" s="6"/>
    </row>
    <row r="12" customFormat="false" ht="15" hidden="false" customHeight="false" outlineLevel="0" collapsed="false">
      <c r="A12" s="2" t="s">
        <v>805</v>
      </c>
      <c r="B12" s="2" t="s">
        <v>804</v>
      </c>
      <c r="C12" s="2" t="s">
        <v>1271</v>
      </c>
      <c r="D12" s="2" t="s">
        <v>1272</v>
      </c>
      <c r="E12" s="6"/>
    </row>
    <row r="13" customFormat="false" ht="15" hidden="false" customHeight="false" outlineLevel="0" collapsed="false">
      <c r="A13" s="2" t="s">
        <v>775</v>
      </c>
      <c r="B13" s="2" t="s">
        <v>774</v>
      </c>
      <c r="C13" s="2" t="s">
        <v>1271</v>
      </c>
      <c r="D13" s="2" t="s">
        <v>1272</v>
      </c>
      <c r="E13" s="6"/>
    </row>
    <row r="14" customFormat="false" ht="15" hidden="false" customHeight="false" outlineLevel="0" collapsed="false">
      <c r="A14" s="2" t="s">
        <v>791</v>
      </c>
      <c r="B14" s="2" t="s">
        <v>790</v>
      </c>
      <c r="C14" s="2" t="s">
        <v>1271</v>
      </c>
      <c r="D14" s="2" t="s">
        <v>1272</v>
      </c>
      <c r="E14" s="6"/>
    </row>
    <row r="15" customFormat="false" ht="15" hidden="false" customHeight="false" outlineLevel="0" collapsed="false">
      <c r="A15" s="2" t="s">
        <v>803</v>
      </c>
      <c r="B15" s="2" t="s">
        <v>802</v>
      </c>
      <c r="C15" s="2" t="s">
        <v>1271</v>
      </c>
      <c r="D15" s="2" t="s">
        <v>1272</v>
      </c>
      <c r="E15" s="6"/>
    </row>
    <row r="16" customFormat="false" ht="15" hidden="false" customHeight="false" outlineLevel="0" collapsed="false">
      <c r="A16" s="2" t="s">
        <v>808</v>
      </c>
      <c r="B16" s="2" t="s">
        <v>807</v>
      </c>
      <c r="C16" s="2" t="s">
        <v>1271</v>
      </c>
      <c r="D16" s="2" t="s">
        <v>1272</v>
      </c>
      <c r="E16" s="6"/>
    </row>
    <row r="17" customFormat="false" ht="15" hidden="false" customHeight="false" outlineLevel="0" collapsed="false">
      <c r="A17" s="2" t="s">
        <v>783</v>
      </c>
      <c r="B17" s="2" t="s">
        <v>782</v>
      </c>
      <c r="C17" s="2" t="s">
        <v>1271</v>
      </c>
      <c r="D17" s="2" t="s">
        <v>1272</v>
      </c>
      <c r="E17" s="6"/>
    </row>
    <row r="18" customFormat="false" ht="15" hidden="false" customHeight="false" outlineLevel="0" collapsed="false">
      <c r="A18" s="2" t="s">
        <v>780</v>
      </c>
      <c r="B18" s="2" t="s">
        <v>779</v>
      </c>
      <c r="C18" s="2" t="s">
        <v>1271</v>
      </c>
      <c r="D18" s="2" t="s">
        <v>1272</v>
      </c>
      <c r="E18" s="6"/>
    </row>
    <row r="19" customFormat="false" ht="15" hidden="false" customHeight="false" outlineLevel="0" collapsed="false">
      <c r="A19" s="2" t="s">
        <v>832</v>
      </c>
      <c r="B19" s="2" t="s">
        <v>831</v>
      </c>
      <c r="C19" s="2" t="s">
        <v>1271</v>
      </c>
      <c r="D19" s="2" t="s">
        <v>1272</v>
      </c>
      <c r="E19" s="6"/>
    </row>
    <row r="20" customFormat="false" ht="15" hidden="false" customHeight="false" outlineLevel="0" collapsed="false">
      <c r="A20" s="2" t="s">
        <v>1015</v>
      </c>
      <c r="B20" s="2" t="s">
        <v>1014</v>
      </c>
      <c r="C20" s="2" t="s">
        <v>1271</v>
      </c>
      <c r="D20" s="2" t="s">
        <v>1272</v>
      </c>
      <c r="E20" s="6"/>
    </row>
    <row r="21" customFormat="false" ht="15" hidden="false" customHeight="false" outlineLevel="0" collapsed="false">
      <c r="A21" s="2" t="s">
        <v>1020</v>
      </c>
      <c r="B21" s="2" t="s">
        <v>1019</v>
      </c>
      <c r="C21" s="2" t="s">
        <v>1271</v>
      </c>
      <c r="D21" s="2" t="s">
        <v>1272</v>
      </c>
      <c r="E21" s="6"/>
    </row>
    <row r="22" customFormat="false" ht="15" hidden="false" customHeight="false" outlineLevel="0" collapsed="false">
      <c r="A22" s="2" t="s">
        <v>1018</v>
      </c>
      <c r="B22" s="2" t="s">
        <v>1017</v>
      </c>
      <c r="C22" s="2" t="s">
        <v>1271</v>
      </c>
      <c r="D22" s="2" t="s">
        <v>1272</v>
      </c>
      <c r="E22" s="6"/>
    </row>
    <row r="23" customFormat="false" ht="15" hidden="false" customHeight="false" outlineLevel="0" collapsed="false">
      <c r="A23" s="2" t="s">
        <v>1231</v>
      </c>
      <c r="B23" s="2" t="s">
        <v>1230</v>
      </c>
      <c r="C23" s="2" t="s">
        <v>1273</v>
      </c>
      <c r="D23" s="2" t="s">
        <v>1274</v>
      </c>
      <c r="E23" s="6"/>
    </row>
    <row r="24" customFormat="false" ht="15" hidden="false" customHeight="false" outlineLevel="0" collapsed="false">
      <c r="A24" s="2" t="s">
        <v>1246</v>
      </c>
      <c r="B24" s="2" t="s">
        <v>1245</v>
      </c>
      <c r="C24" s="2" t="s">
        <v>1273</v>
      </c>
      <c r="D24" s="2" t="s">
        <v>1275</v>
      </c>
      <c r="E24" s="6"/>
    </row>
    <row r="25" customFormat="false" ht="15" hidden="false" customHeight="false" outlineLevel="0" collapsed="false">
      <c r="A25" s="2" t="s">
        <v>1225</v>
      </c>
      <c r="B25" s="2" t="s">
        <v>1224</v>
      </c>
      <c r="C25" s="2" t="s">
        <v>1273</v>
      </c>
      <c r="D25" s="2" t="s">
        <v>1276</v>
      </c>
      <c r="E25" s="6"/>
    </row>
    <row r="26" customFormat="false" ht="15" hidden="false" customHeight="false" outlineLevel="0" collapsed="false">
      <c r="A26" s="2" t="s">
        <v>119</v>
      </c>
      <c r="B26" s="2" t="s">
        <v>118</v>
      </c>
      <c r="C26" s="2" t="s">
        <v>1273</v>
      </c>
      <c r="D26" s="2" t="s">
        <v>1277</v>
      </c>
      <c r="E26" s="6"/>
    </row>
    <row r="27" customFormat="false" ht="15" hidden="false" customHeight="false" outlineLevel="0" collapsed="false">
      <c r="A27" s="2" t="s">
        <v>238</v>
      </c>
      <c r="B27" s="2" t="s">
        <v>237</v>
      </c>
      <c r="C27" s="2" t="s">
        <v>1273</v>
      </c>
      <c r="D27" s="2" t="s">
        <v>1278</v>
      </c>
      <c r="E27" s="6"/>
    </row>
    <row r="28" customFormat="false" ht="15" hidden="false" customHeight="false" outlineLevel="0" collapsed="false">
      <c r="A28" s="2" t="s">
        <v>189</v>
      </c>
      <c r="B28" s="2" t="s">
        <v>188</v>
      </c>
      <c r="C28" s="2" t="s">
        <v>1273</v>
      </c>
      <c r="D28" s="2" t="s">
        <v>1279</v>
      </c>
      <c r="E28" s="6"/>
    </row>
    <row r="29" customFormat="false" ht="15" hidden="false" customHeight="false" outlineLevel="0" collapsed="false">
      <c r="A29" s="2" t="s">
        <v>356</v>
      </c>
      <c r="B29" s="2" t="s">
        <v>355</v>
      </c>
      <c r="C29" s="2" t="s">
        <v>1273</v>
      </c>
      <c r="D29" s="2" t="s">
        <v>1280</v>
      </c>
      <c r="E29" s="6"/>
    </row>
    <row r="30" customFormat="false" ht="15" hidden="false" customHeight="false" outlineLevel="0" collapsed="false">
      <c r="A30" s="2" t="s">
        <v>373</v>
      </c>
      <c r="B30" s="2" t="s">
        <v>372</v>
      </c>
      <c r="C30" s="2" t="s">
        <v>1273</v>
      </c>
      <c r="D30" s="2" t="s">
        <v>1281</v>
      </c>
      <c r="E30" s="6"/>
    </row>
    <row r="31" customFormat="false" ht="15" hidden="false" customHeight="false" outlineLevel="0" collapsed="false">
      <c r="A31" s="2" t="s">
        <v>413</v>
      </c>
      <c r="B31" s="2" t="s">
        <v>412</v>
      </c>
      <c r="C31" s="2" t="s">
        <v>1273</v>
      </c>
      <c r="D31" s="2" t="s">
        <v>1282</v>
      </c>
      <c r="E31" s="6"/>
    </row>
    <row r="32" customFormat="false" ht="15" hidden="false" customHeight="false" outlineLevel="0" collapsed="false">
      <c r="A32" s="2" t="s">
        <v>457</v>
      </c>
      <c r="B32" s="2" t="s">
        <v>456</v>
      </c>
      <c r="C32" s="2" t="s">
        <v>1273</v>
      </c>
      <c r="D32" s="2" t="s">
        <v>1283</v>
      </c>
      <c r="E32" s="6"/>
    </row>
    <row r="33" customFormat="false" ht="15" hidden="false" customHeight="false" outlineLevel="0" collapsed="false">
      <c r="A33" s="2" t="s">
        <v>582</v>
      </c>
      <c r="B33" s="2" t="s">
        <v>581</v>
      </c>
      <c r="C33" s="2" t="s">
        <v>1273</v>
      </c>
      <c r="D33" s="2" t="s">
        <v>1284</v>
      </c>
      <c r="E33" s="6"/>
    </row>
    <row r="34" customFormat="false" ht="15" hidden="false" customHeight="false" outlineLevel="0" collapsed="false">
      <c r="A34" s="2" t="s">
        <v>606</v>
      </c>
      <c r="B34" s="2" t="s">
        <v>605</v>
      </c>
      <c r="C34" s="2" t="s">
        <v>1273</v>
      </c>
      <c r="D34" s="2" t="s">
        <v>1285</v>
      </c>
      <c r="E34" s="6"/>
    </row>
    <row r="35" customFormat="false" ht="15" hidden="false" customHeight="false" outlineLevel="0" collapsed="false">
      <c r="A35" s="2" t="s">
        <v>647</v>
      </c>
      <c r="B35" s="2" t="s">
        <v>646</v>
      </c>
      <c r="C35" s="2" t="s">
        <v>1273</v>
      </c>
      <c r="D35" s="2" t="s">
        <v>1286</v>
      </c>
      <c r="E35" s="6"/>
    </row>
    <row r="36" customFormat="false" ht="15" hidden="false" customHeight="false" outlineLevel="0" collapsed="false">
      <c r="A36" s="2" t="s">
        <v>1007</v>
      </c>
      <c r="B36" s="2" t="s">
        <v>1006</v>
      </c>
      <c r="C36" s="2" t="s">
        <v>1273</v>
      </c>
      <c r="D36" s="2" t="s">
        <v>1287</v>
      </c>
      <c r="E36" s="6"/>
    </row>
    <row r="37" customFormat="false" ht="15" hidden="false" customHeight="false" outlineLevel="0" collapsed="false">
      <c r="A37" s="2" t="s">
        <v>981</v>
      </c>
      <c r="B37" s="2" t="s">
        <v>980</v>
      </c>
      <c r="C37" s="2" t="s">
        <v>1273</v>
      </c>
      <c r="D37" s="2" t="s">
        <v>1288</v>
      </c>
      <c r="E37" s="6"/>
    </row>
    <row r="38" customFormat="false" ht="15" hidden="false" customHeight="false" outlineLevel="0" collapsed="false">
      <c r="A38" s="2" t="s">
        <v>998</v>
      </c>
      <c r="B38" s="2" t="s">
        <v>997</v>
      </c>
      <c r="C38" s="2" t="s">
        <v>1273</v>
      </c>
      <c r="D38" s="2" t="s">
        <v>1289</v>
      </c>
      <c r="E38" s="6"/>
    </row>
    <row r="39" customFormat="false" ht="15" hidden="false" customHeight="false" outlineLevel="0" collapsed="false">
      <c r="A39" s="2" t="s">
        <v>760</v>
      </c>
      <c r="B39" s="2" t="s">
        <v>759</v>
      </c>
      <c r="C39" s="2" t="s">
        <v>1290</v>
      </c>
      <c r="D39" s="2" t="s">
        <v>1291</v>
      </c>
      <c r="E39" s="6"/>
    </row>
    <row r="40" customFormat="false" ht="15" hidden="false" customHeight="false" outlineLevel="0" collapsed="false">
      <c r="A40" s="2" t="s">
        <v>1145</v>
      </c>
      <c r="B40" s="2" t="s">
        <v>1144</v>
      </c>
      <c r="C40" s="2" t="s">
        <v>1292</v>
      </c>
      <c r="D40" s="2" t="s">
        <v>1293</v>
      </c>
      <c r="E40" s="6"/>
    </row>
    <row r="41" customFormat="false" ht="15" hidden="false" customHeight="false" outlineLevel="0" collapsed="false">
      <c r="A41" s="2" t="s">
        <v>1085</v>
      </c>
      <c r="B41" s="2" t="s">
        <v>1084</v>
      </c>
      <c r="C41" s="2" t="s">
        <v>1292</v>
      </c>
      <c r="D41" s="2" t="s">
        <v>1293</v>
      </c>
      <c r="E41" s="6"/>
    </row>
    <row r="42" customFormat="false" ht="15" hidden="false" customHeight="false" outlineLevel="0" collapsed="false">
      <c r="A42" s="2" t="s">
        <v>1231</v>
      </c>
      <c r="B42" s="2" t="s">
        <v>1230</v>
      </c>
      <c r="C42" s="2" t="s">
        <v>1292</v>
      </c>
      <c r="D42" s="2" t="s">
        <v>1293</v>
      </c>
      <c r="E42" s="6"/>
    </row>
    <row r="43" customFormat="false" ht="15" hidden="false" customHeight="false" outlineLevel="0" collapsed="false">
      <c r="A43" s="2" t="s">
        <v>1204</v>
      </c>
      <c r="B43" s="2" t="s">
        <v>1203</v>
      </c>
      <c r="C43" s="2" t="s">
        <v>1292</v>
      </c>
      <c r="D43" s="2" t="s">
        <v>1293</v>
      </c>
      <c r="E43" s="6"/>
    </row>
    <row r="44" customFormat="false" ht="15" hidden="false" customHeight="false" outlineLevel="0" collapsed="false">
      <c r="A44" s="2" t="s">
        <v>1076</v>
      </c>
      <c r="B44" s="2" t="s">
        <v>1075</v>
      </c>
      <c r="C44" s="2" t="s">
        <v>1292</v>
      </c>
      <c r="D44" s="2" t="s">
        <v>1293</v>
      </c>
      <c r="E44" s="6"/>
    </row>
    <row r="45" customFormat="false" ht="15" hidden="false" customHeight="false" outlineLevel="0" collapsed="false">
      <c r="A45" s="2" t="s">
        <v>1136</v>
      </c>
      <c r="B45" s="2" t="s">
        <v>1135</v>
      </c>
      <c r="C45" s="2" t="s">
        <v>1292</v>
      </c>
      <c r="D45" s="2" t="s">
        <v>1293</v>
      </c>
      <c r="E45" s="6"/>
    </row>
    <row r="46" customFormat="false" ht="15" hidden="false" customHeight="false" outlineLevel="0" collapsed="false">
      <c r="A46" s="2" t="s">
        <v>1021</v>
      </c>
      <c r="B46" s="2" t="s">
        <v>812</v>
      </c>
      <c r="C46" s="2" t="s">
        <v>1292</v>
      </c>
      <c r="D46" s="2" t="s">
        <v>1293</v>
      </c>
      <c r="E46" s="6"/>
    </row>
    <row r="47" customFormat="false" ht="15" hidden="false" customHeight="false" outlineLevel="0" collapsed="false">
      <c r="A47" s="2" t="s">
        <v>1187</v>
      </c>
      <c r="B47" s="2" t="s">
        <v>1186</v>
      </c>
      <c r="C47" s="2" t="s">
        <v>1292</v>
      </c>
      <c r="D47" s="2" t="s">
        <v>1293</v>
      </c>
      <c r="E47" s="6"/>
    </row>
    <row r="48" customFormat="false" ht="15" hidden="false" customHeight="false" outlineLevel="0" collapsed="false">
      <c r="A48" s="2" t="s">
        <v>1052</v>
      </c>
      <c r="B48" s="2" t="s">
        <v>1051</v>
      </c>
      <c r="C48" s="2" t="s">
        <v>1292</v>
      </c>
      <c r="D48" s="2" t="s">
        <v>1293</v>
      </c>
      <c r="E48" s="6"/>
    </row>
    <row r="49" customFormat="false" ht="15" hidden="false" customHeight="false" outlineLevel="0" collapsed="false">
      <c r="A49" s="2" t="s">
        <v>1238</v>
      </c>
      <c r="B49" s="2" t="s">
        <v>1237</v>
      </c>
      <c r="C49" s="2" t="s">
        <v>1292</v>
      </c>
      <c r="D49" s="2" t="s">
        <v>1293</v>
      </c>
      <c r="E49" s="6"/>
    </row>
    <row r="50" customFormat="false" ht="15" hidden="false" customHeight="false" outlineLevel="0" collapsed="false">
      <c r="A50" s="2" t="s">
        <v>1119</v>
      </c>
      <c r="B50" s="2" t="s">
        <v>1118</v>
      </c>
      <c r="C50" s="2" t="s">
        <v>1292</v>
      </c>
      <c r="D50" s="2" t="s">
        <v>1293</v>
      </c>
      <c r="E50" s="6"/>
    </row>
    <row r="51" customFormat="false" ht="15" hidden="false" customHeight="false" outlineLevel="0" collapsed="false">
      <c r="A51" s="2" t="s">
        <v>1196</v>
      </c>
      <c r="B51" s="2" t="s">
        <v>1195</v>
      </c>
      <c r="C51" s="2" t="s">
        <v>1292</v>
      </c>
      <c r="D51" s="2" t="s">
        <v>1293</v>
      </c>
      <c r="E51" s="6"/>
    </row>
    <row r="52" customFormat="false" ht="15" hidden="false" customHeight="false" outlineLevel="0" collapsed="false">
      <c r="A52" s="2" t="s">
        <v>1060</v>
      </c>
      <c r="B52" s="2" t="s">
        <v>1059</v>
      </c>
      <c r="C52" s="2" t="s">
        <v>1292</v>
      </c>
      <c r="D52" s="2" t="s">
        <v>1293</v>
      </c>
      <c r="E52" s="6"/>
    </row>
    <row r="53" customFormat="false" ht="15" hidden="false" customHeight="false" outlineLevel="0" collapsed="false">
      <c r="A53" s="2" t="s">
        <v>1094</v>
      </c>
      <c r="B53" s="2" t="s">
        <v>1093</v>
      </c>
      <c r="C53" s="2" t="s">
        <v>1292</v>
      </c>
      <c r="D53" s="2" t="s">
        <v>1293</v>
      </c>
      <c r="E53" s="6"/>
    </row>
    <row r="54" customFormat="false" ht="15" hidden="false" customHeight="false" outlineLevel="0" collapsed="false">
      <c r="A54" s="2" t="s">
        <v>1103</v>
      </c>
      <c r="B54" s="2" t="s">
        <v>1102</v>
      </c>
      <c r="C54" s="2" t="s">
        <v>1292</v>
      </c>
      <c r="D54" s="2" t="s">
        <v>1293</v>
      </c>
      <c r="E54" s="6"/>
    </row>
    <row r="55" customFormat="false" ht="15" hidden="false" customHeight="false" outlineLevel="0" collapsed="false">
      <c r="A55" s="2" t="s">
        <v>1246</v>
      </c>
      <c r="B55" s="2" t="s">
        <v>1245</v>
      </c>
      <c r="C55" s="2" t="s">
        <v>1292</v>
      </c>
      <c r="D55" s="2" t="s">
        <v>1293</v>
      </c>
      <c r="E55" s="6"/>
    </row>
    <row r="56" customFormat="false" ht="15" hidden="false" customHeight="false" outlineLevel="0" collapsed="false">
      <c r="A56" s="2" t="s">
        <v>1036</v>
      </c>
      <c r="B56" s="2" t="s">
        <v>1035</v>
      </c>
      <c r="C56" s="2" t="s">
        <v>1292</v>
      </c>
      <c r="D56" s="2" t="s">
        <v>1293</v>
      </c>
      <c r="E56" s="6"/>
    </row>
    <row r="57" customFormat="false" ht="15" hidden="false" customHeight="false" outlineLevel="0" collapsed="false">
      <c r="A57" s="2" t="s">
        <v>1225</v>
      </c>
      <c r="B57" s="2" t="s">
        <v>1224</v>
      </c>
      <c r="C57" s="2" t="s">
        <v>1292</v>
      </c>
      <c r="D57" s="2" t="s">
        <v>1293</v>
      </c>
      <c r="E57" s="6"/>
    </row>
    <row r="58" customFormat="false" ht="15" hidden="false" customHeight="false" outlineLevel="0" collapsed="false">
      <c r="A58" s="2" t="s">
        <v>1153</v>
      </c>
      <c r="B58" s="2" t="s">
        <v>1152</v>
      </c>
      <c r="C58" s="2" t="s">
        <v>1292</v>
      </c>
      <c r="D58" s="2" t="s">
        <v>1293</v>
      </c>
      <c r="E58" s="6"/>
    </row>
    <row r="59" customFormat="false" ht="15" hidden="false" customHeight="false" outlineLevel="0" collapsed="false">
      <c r="A59" s="2" t="s">
        <v>1211</v>
      </c>
      <c r="B59" s="2" t="s">
        <v>1210</v>
      </c>
      <c r="C59" s="2" t="s">
        <v>1292</v>
      </c>
      <c r="D59" s="2" t="s">
        <v>1293</v>
      </c>
      <c r="E59" s="6"/>
    </row>
    <row r="60" customFormat="false" ht="15" hidden="false" customHeight="false" outlineLevel="0" collapsed="false">
      <c r="A60" s="2" t="s">
        <v>1068</v>
      </c>
      <c r="B60" s="2" t="s">
        <v>1067</v>
      </c>
      <c r="C60" s="2" t="s">
        <v>1292</v>
      </c>
      <c r="D60" s="2" t="s">
        <v>1293</v>
      </c>
      <c r="E60" s="6"/>
    </row>
    <row r="61" customFormat="false" ht="15" hidden="false" customHeight="false" outlineLevel="0" collapsed="false">
      <c r="A61" s="2" t="s">
        <v>1128</v>
      </c>
      <c r="B61" s="2" t="s">
        <v>1127</v>
      </c>
      <c r="C61" s="2" t="s">
        <v>1292</v>
      </c>
      <c r="D61" s="2" t="s">
        <v>1293</v>
      </c>
      <c r="E61" s="6"/>
    </row>
    <row r="62" customFormat="false" ht="15" hidden="false" customHeight="false" outlineLevel="0" collapsed="false">
      <c r="A62" s="2" t="s">
        <v>1111</v>
      </c>
      <c r="B62" s="2" t="s">
        <v>1110</v>
      </c>
      <c r="C62" s="2" t="s">
        <v>1292</v>
      </c>
      <c r="D62" s="2" t="s">
        <v>1293</v>
      </c>
      <c r="E62" s="6"/>
    </row>
    <row r="63" customFormat="false" ht="15" hidden="false" customHeight="false" outlineLevel="0" collapsed="false">
      <c r="A63" s="2" t="s">
        <v>1161</v>
      </c>
      <c r="B63" s="2" t="s">
        <v>1160</v>
      </c>
      <c r="C63" s="2" t="s">
        <v>1292</v>
      </c>
      <c r="D63" s="2" t="s">
        <v>1293</v>
      </c>
      <c r="E63" s="6"/>
    </row>
    <row r="64" customFormat="false" ht="15" hidden="false" customHeight="false" outlineLevel="0" collapsed="false">
      <c r="A64" s="2" t="s">
        <v>1179</v>
      </c>
      <c r="B64" s="2" t="s">
        <v>1178</v>
      </c>
      <c r="C64" s="2" t="s">
        <v>1292</v>
      </c>
      <c r="D64" s="2" t="s">
        <v>1293</v>
      </c>
      <c r="E64" s="6"/>
    </row>
    <row r="65" customFormat="false" ht="15" hidden="false" customHeight="false" outlineLevel="0" collapsed="false">
      <c r="A65" s="2" t="s">
        <v>1170</v>
      </c>
      <c r="B65" s="2" t="s">
        <v>1169</v>
      </c>
      <c r="C65" s="2" t="s">
        <v>1292</v>
      </c>
      <c r="D65" s="2" t="s">
        <v>1293</v>
      </c>
      <c r="E65" s="6"/>
    </row>
    <row r="66" customFormat="false" ht="15" hidden="false" customHeight="false" outlineLevel="0" collapsed="false">
      <c r="A66" s="2" t="s">
        <v>1043</v>
      </c>
      <c r="B66" s="2" t="s">
        <v>1042</v>
      </c>
      <c r="C66" s="2" t="s">
        <v>1292</v>
      </c>
      <c r="D66" s="2" t="s">
        <v>1293</v>
      </c>
      <c r="E66" s="6"/>
    </row>
    <row r="67" customFormat="false" ht="15" hidden="false" customHeight="false" outlineLevel="0" collapsed="false">
      <c r="A67" s="2" t="s">
        <v>934</v>
      </c>
      <c r="B67" s="2" t="s">
        <v>933</v>
      </c>
      <c r="C67" s="2" t="s">
        <v>1294</v>
      </c>
      <c r="D67" s="2" t="s">
        <v>1295</v>
      </c>
      <c r="E67" s="6"/>
    </row>
    <row r="68" customFormat="false" ht="15" hidden="false" customHeight="false" outlineLevel="0" collapsed="false">
      <c r="A68" s="2" t="s">
        <v>57</v>
      </c>
      <c r="B68" s="2" t="s">
        <v>56</v>
      </c>
      <c r="C68" s="2" t="s">
        <v>1296</v>
      </c>
      <c r="D68" s="2" t="s">
        <v>1297</v>
      </c>
      <c r="E68" s="6"/>
    </row>
    <row r="69" customFormat="false" ht="15" hidden="false" customHeight="false" outlineLevel="0" collapsed="false">
      <c r="A69" s="2" t="s">
        <v>531</v>
      </c>
      <c r="B69" s="2" t="s">
        <v>530</v>
      </c>
      <c r="C69" s="2" t="s">
        <v>1296</v>
      </c>
      <c r="D69" s="2" t="s">
        <v>1297</v>
      </c>
      <c r="E69" s="6"/>
    </row>
    <row r="70" customFormat="false" ht="15" hidden="false" customHeight="false" outlineLevel="0" collapsed="false">
      <c r="A70" s="2" t="s">
        <v>517</v>
      </c>
      <c r="B70" s="2" t="s">
        <v>516</v>
      </c>
      <c r="C70" s="2" t="s">
        <v>1296</v>
      </c>
      <c r="D70" s="2" t="s">
        <v>1297</v>
      </c>
      <c r="E70" s="6"/>
    </row>
    <row r="71" customFormat="false" ht="15" hidden="false" customHeight="false" outlineLevel="0" collapsed="false">
      <c r="A71" s="2" t="s">
        <v>525</v>
      </c>
      <c r="B71" s="2" t="s">
        <v>524</v>
      </c>
      <c r="C71" s="2" t="s">
        <v>1296</v>
      </c>
      <c r="D71" s="2" t="s">
        <v>1297</v>
      </c>
      <c r="E71" s="6"/>
    </row>
    <row r="72" customFormat="false" ht="15" hidden="false" customHeight="false" outlineLevel="0" collapsed="false">
      <c r="A72" s="2" t="s">
        <v>510</v>
      </c>
      <c r="B72" s="2" t="s">
        <v>509</v>
      </c>
      <c r="C72" s="2" t="s">
        <v>1296</v>
      </c>
      <c r="D72" s="2" t="s">
        <v>1297</v>
      </c>
      <c r="E72" s="6"/>
    </row>
    <row r="73" customFormat="false" ht="15" hidden="false" customHeight="false" outlineLevel="0" collapsed="false">
      <c r="A73" s="2" t="s">
        <v>537</v>
      </c>
      <c r="B73" s="2" t="s">
        <v>536</v>
      </c>
      <c r="C73" s="2" t="s">
        <v>1296</v>
      </c>
      <c r="D73" s="2" t="s">
        <v>1297</v>
      </c>
      <c r="E73" s="6"/>
    </row>
    <row r="74" customFormat="false" ht="15" hidden="false" customHeight="false" outlineLevel="0" collapsed="false">
      <c r="A74" s="2" t="s">
        <v>785</v>
      </c>
      <c r="B74" s="2" t="s">
        <v>784</v>
      </c>
      <c r="C74" s="2" t="s">
        <v>1296</v>
      </c>
      <c r="D74" s="2" t="s">
        <v>1297</v>
      </c>
      <c r="E74" s="6"/>
    </row>
    <row r="75" customFormat="false" ht="15" hidden="false" customHeight="false" outlineLevel="0" collapsed="false">
      <c r="A75" s="2" t="s">
        <v>788</v>
      </c>
      <c r="B75" s="2" t="s">
        <v>787</v>
      </c>
      <c r="C75" s="2" t="s">
        <v>1296</v>
      </c>
      <c r="D75" s="2" t="s">
        <v>1297</v>
      </c>
      <c r="E75" s="6"/>
    </row>
    <row r="76" customFormat="false" ht="15" hidden="false" customHeight="false" outlineLevel="0" collapsed="false">
      <c r="A76" s="2" t="s">
        <v>793</v>
      </c>
      <c r="B76" s="2" t="s">
        <v>792</v>
      </c>
      <c r="C76" s="2" t="s">
        <v>1296</v>
      </c>
      <c r="D76" s="2" t="s">
        <v>1297</v>
      </c>
      <c r="E76" s="6"/>
    </row>
    <row r="77" customFormat="false" ht="15" hidden="false" customHeight="false" outlineLevel="0" collapsed="false">
      <c r="A77" s="2" t="s">
        <v>796</v>
      </c>
      <c r="B77" s="2" t="s">
        <v>795</v>
      </c>
      <c r="C77" s="2" t="s">
        <v>1296</v>
      </c>
      <c r="D77" s="2" t="s">
        <v>1297</v>
      </c>
      <c r="E77" s="6"/>
    </row>
    <row r="78" customFormat="false" ht="15" hidden="false" customHeight="false" outlineLevel="0" collapsed="false">
      <c r="A78" s="2" t="s">
        <v>798</v>
      </c>
      <c r="B78" s="2" t="s">
        <v>797</v>
      </c>
      <c r="C78" s="2" t="s">
        <v>1296</v>
      </c>
      <c r="D78" s="2" t="s">
        <v>1297</v>
      </c>
      <c r="E78" s="6"/>
    </row>
    <row r="79" customFormat="false" ht="15" hidden="false" customHeight="false" outlineLevel="0" collapsed="false">
      <c r="A79" s="2" t="s">
        <v>800</v>
      </c>
      <c r="B79" s="2" t="s">
        <v>799</v>
      </c>
      <c r="C79" s="2" t="s">
        <v>1296</v>
      </c>
      <c r="D79" s="2" t="s">
        <v>1297</v>
      </c>
      <c r="E79" s="6"/>
    </row>
    <row r="80" customFormat="false" ht="15" hidden="false" customHeight="false" outlineLevel="0" collapsed="false">
      <c r="A80" s="2" t="s">
        <v>805</v>
      </c>
      <c r="B80" s="2" t="s">
        <v>804</v>
      </c>
      <c r="C80" s="2" t="s">
        <v>1296</v>
      </c>
      <c r="D80" s="2" t="s">
        <v>1297</v>
      </c>
      <c r="E80" s="6"/>
    </row>
    <row r="81" customFormat="false" ht="15" hidden="false" customHeight="false" outlineLevel="0" collapsed="false">
      <c r="A81" s="2" t="s">
        <v>775</v>
      </c>
      <c r="B81" s="2" t="s">
        <v>774</v>
      </c>
      <c r="C81" s="2" t="s">
        <v>1296</v>
      </c>
      <c r="D81" s="2" t="s">
        <v>1297</v>
      </c>
      <c r="E81" s="6"/>
    </row>
    <row r="82" customFormat="false" ht="15" hidden="false" customHeight="false" outlineLevel="0" collapsed="false">
      <c r="A82" s="2" t="s">
        <v>791</v>
      </c>
      <c r="B82" s="2" t="s">
        <v>790</v>
      </c>
      <c r="C82" s="2" t="s">
        <v>1296</v>
      </c>
      <c r="D82" s="2" t="s">
        <v>1297</v>
      </c>
      <c r="E82" s="6"/>
    </row>
    <row r="83" customFormat="false" ht="15" hidden="false" customHeight="false" outlineLevel="0" collapsed="false">
      <c r="A83" s="2" t="s">
        <v>803</v>
      </c>
      <c r="B83" s="2" t="s">
        <v>802</v>
      </c>
      <c r="C83" s="2" t="s">
        <v>1296</v>
      </c>
      <c r="D83" s="2" t="s">
        <v>1297</v>
      </c>
      <c r="E83" s="6"/>
    </row>
    <row r="84" customFormat="false" ht="15" hidden="false" customHeight="false" outlineLevel="0" collapsed="false">
      <c r="A84" s="2" t="s">
        <v>808</v>
      </c>
      <c r="B84" s="2" t="s">
        <v>807</v>
      </c>
      <c r="C84" s="2" t="s">
        <v>1296</v>
      </c>
      <c r="D84" s="2" t="s">
        <v>1297</v>
      </c>
      <c r="E84" s="6"/>
    </row>
    <row r="85" customFormat="false" ht="15" hidden="false" customHeight="false" outlineLevel="0" collapsed="false">
      <c r="A85" s="2" t="s">
        <v>783</v>
      </c>
      <c r="B85" s="2" t="s">
        <v>782</v>
      </c>
      <c r="C85" s="2" t="s">
        <v>1296</v>
      </c>
      <c r="D85" s="2" t="s">
        <v>1297</v>
      </c>
      <c r="E85" s="6"/>
    </row>
    <row r="86" customFormat="false" ht="15" hidden="false" customHeight="false" outlineLevel="0" collapsed="false">
      <c r="A86" s="2" t="s">
        <v>780</v>
      </c>
      <c r="B86" s="2" t="s">
        <v>779</v>
      </c>
      <c r="C86" s="2" t="s">
        <v>1296</v>
      </c>
      <c r="D86" s="2" t="s">
        <v>1297</v>
      </c>
      <c r="E86" s="6"/>
    </row>
    <row r="87" customFormat="false" ht="15" hidden="false" customHeight="false" outlineLevel="0" collapsed="false">
      <c r="A87" s="2" t="s">
        <v>1015</v>
      </c>
      <c r="B87" s="2" t="s">
        <v>1014</v>
      </c>
      <c r="C87" s="2" t="s">
        <v>1296</v>
      </c>
      <c r="D87" s="2" t="s">
        <v>1297</v>
      </c>
      <c r="E87" s="6"/>
    </row>
    <row r="88" customFormat="false" ht="15" hidden="false" customHeight="false" outlineLevel="0" collapsed="false">
      <c r="A88" s="2" t="s">
        <v>1020</v>
      </c>
      <c r="B88" s="2" t="s">
        <v>1019</v>
      </c>
      <c r="C88" s="2" t="s">
        <v>1296</v>
      </c>
      <c r="D88" s="2" t="s">
        <v>1297</v>
      </c>
      <c r="E88" s="6"/>
    </row>
    <row r="89" customFormat="false" ht="15" hidden="false" customHeight="false" outlineLevel="0" collapsed="false">
      <c r="A89" s="2" t="s">
        <v>1018</v>
      </c>
      <c r="B89" s="2" t="s">
        <v>1017</v>
      </c>
      <c r="C89" s="2" t="s">
        <v>1296</v>
      </c>
      <c r="D89" s="2" t="s">
        <v>1297</v>
      </c>
      <c r="E89" s="6"/>
    </row>
  </sheetData>
  <autoFilter ref="A1:E8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4"/>
    <col collapsed="false" customWidth="true" hidden="false" outlineLevel="0" max="3" min="3" style="0" width="12"/>
    <col collapsed="false" customWidth="true" hidden="false" outlineLevel="0" max="5" min="4" style="0" width="90"/>
  </cols>
  <sheetData>
    <row r="1" customFormat="false" ht="15" hidden="false" customHeight="false" outlineLevel="0" collapsed="false">
      <c r="A1" s="8" t="s">
        <v>1298</v>
      </c>
      <c r="B1" s="8" t="s">
        <v>1299</v>
      </c>
      <c r="C1" s="8" t="s">
        <v>33</v>
      </c>
      <c r="D1" s="8" t="s">
        <v>25</v>
      </c>
      <c r="E1" s="8" t="s">
        <v>1300</v>
      </c>
    </row>
    <row r="2" customFormat="false" ht="15" hidden="false" customHeight="false" outlineLevel="0" collapsed="false">
      <c r="A2" s="2" t="s">
        <v>1301</v>
      </c>
      <c r="B2" s="2" t="s">
        <v>1302</v>
      </c>
      <c r="C2" s="2" t="s">
        <v>45</v>
      </c>
      <c r="D2" s="2"/>
      <c r="E2" s="2" t="s">
        <v>1303</v>
      </c>
    </row>
    <row r="3" customFormat="false" ht="15" hidden="false" customHeight="false" outlineLevel="0" collapsed="false">
      <c r="A3" s="2" t="s">
        <v>1304</v>
      </c>
      <c r="B3" s="2" t="s">
        <v>1305</v>
      </c>
      <c r="C3" s="2" t="s">
        <v>45</v>
      </c>
      <c r="D3" s="2"/>
      <c r="E3" s="2" t="s">
        <v>1306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10"/>
  </cols>
  <sheetData>
    <row r="1" customFormat="false" ht="17.35" hidden="false" customHeight="false" outlineLevel="0" collapsed="false">
      <c r="A1" s="9" t="s">
        <v>1307</v>
      </c>
      <c r="B1" s="10"/>
    </row>
    <row r="2" customFormat="false" ht="15" hidden="false" customHeight="false" outlineLevel="0" collapsed="false">
      <c r="A2" s="11" t="s">
        <v>1308</v>
      </c>
      <c r="B2" s="10" t="s">
        <v>1309</v>
      </c>
    </row>
    <row r="3" customFormat="false" ht="15" hidden="false" customHeight="false" outlineLevel="0" collapsed="false">
      <c r="A3" s="11"/>
      <c r="B3" s="10"/>
    </row>
    <row r="4" customFormat="false" ht="15" hidden="false" customHeight="false" outlineLevel="0" collapsed="false">
      <c r="A4" s="12" t="s">
        <v>1310</v>
      </c>
      <c r="B4" s="10"/>
    </row>
    <row r="5" customFormat="false" ht="15" hidden="false" customHeight="false" outlineLevel="0" collapsed="false">
      <c r="A5" s="11" t="s">
        <v>1311</v>
      </c>
      <c r="B5" s="10" t="s">
        <v>1312</v>
      </c>
    </row>
    <row r="6" customFormat="false" ht="15" hidden="false" customHeight="false" outlineLevel="0" collapsed="false">
      <c r="A6" s="11" t="s">
        <v>1313</v>
      </c>
      <c r="B6" s="10" t="s">
        <v>1314</v>
      </c>
    </row>
    <row r="7" customFormat="false" ht="15" hidden="false" customHeight="false" outlineLevel="0" collapsed="false">
      <c r="A7" s="11" t="s">
        <v>1315</v>
      </c>
      <c r="B7" s="10" t="s">
        <v>1316</v>
      </c>
    </row>
    <row r="8" customFormat="false" ht="15" hidden="false" customHeight="false" outlineLevel="0" collapsed="false">
      <c r="A8" s="11"/>
      <c r="B8" s="10"/>
    </row>
    <row r="9" customFormat="false" ht="15" hidden="false" customHeight="false" outlineLevel="0" collapsed="false">
      <c r="A9" s="12" t="s">
        <v>1317</v>
      </c>
      <c r="B9" s="10"/>
    </row>
    <row r="10" customFormat="false" ht="15" hidden="false" customHeight="false" outlineLevel="0" collapsed="false">
      <c r="A10" s="11" t="s">
        <v>15</v>
      </c>
      <c r="B10" s="10" t="s">
        <v>1318</v>
      </c>
    </row>
    <row r="11" customFormat="false" ht="15" hidden="false" customHeight="false" outlineLevel="0" collapsed="false">
      <c r="A11" s="11" t="s">
        <v>17</v>
      </c>
      <c r="B11" s="10" t="s">
        <v>1319</v>
      </c>
    </row>
    <row r="12" customFormat="false" ht="15" hidden="false" customHeight="false" outlineLevel="0" collapsed="false">
      <c r="A12" s="11" t="s">
        <v>1320</v>
      </c>
      <c r="B12" s="10" t="s">
        <v>1321</v>
      </c>
    </row>
    <row r="13" customFormat="false" ht="15" hidden="false" customHeight="false" outlineLevel="0" collapsed="false">
      <c r="A13" s="11"/>
      <c r="B13" s="10"/>
    </row>
    <row r="14" customFormat="false" ht="15" hidden="false" customHeight="false" outlineLevel="0" collapsed="false">
      <c r="A14" s="12" t="s">
        <v>1322</v>
      </c>
      <c r="B14" s="10"/>
    </row>
    <row r="15" customFormat="false" ht="23.85" hidden="false" customHeight="false" outlineLevel="0" collapsed="false">
      <c r="A15" s="11" t="s">
        <v>1323</v>
      </c>
      <c r="B15" s="10" t="s">
        <v>1324</v>
      </c>
    </row>
    <row r="16" customFormat="false" ht="15" hidden="false" customHeight="false" outlineLevel="0" collapsed="false">
      <c r="A16" s="11" t="s">
        <v>1325</v>
      </c>
      <c r="B16" s="10" t="s">
        <v>1326</v>
      </c>
    </row>
    <row r="17" customFormat="false" ht="23.85" hidden="false" customHeight="false" outlineLevel="0" collapsed="false">
      <c r="A17" s="11" t="s">
        <v>1327</v>
      </c>
      <c r="B17" s="10" t="s">
        <v>1328</v>
      </c>
    </row>
    <row r="18" customFormat="false" ht="23.85" hidden="false" customHeight="false" outlineLevel="0" collapsed="false">
      <c r="A18" s="11" t="s">
        <v>1329</v>
      </c>
      <c r="B18" s="10" t="s">
        <v>1330</v>
      </c>
    </row>
    <row r="19" customFormat="false" ht="15" hidden="false" customHeight="false" outlineLevel="0" collapsed="false">
      <c r="A19" s="11" t="s">
        <v>1331</v>
      </c>
      <c r="B19" s="10" t="s">
        <v>1332</v>
      </c>
    </row>
    <row r="20" customFormat="false" ht="15" hidden="false" customHeight="false" outlineLevel="0" collapsed="false">
      <c r="A20" s="11" t="s">
        <v>1333</v>
      </c>
      <c r="B20" s="10" t="s">
        <v>1334</v>
      </c>
    </row>
    <row r="21" customFormat="false" ht="15" hidden="false" customHeight="false" outlineLevel="0" collapsed="false">
      <c r="A21" s="11"/>
      <c r="B21" s="10"/>
    </row>
    <row r="22" customFormat="false" ht="15" hidden="false" customHeight="false" outlineLevel="0" collapsed="false">
      <c r="A22" s="12" t="s">
        <v>1335</v>
      </c>
      <c r="B22" s="10"/>
    </row>
    <row r="23" customFormat="false" ht="15" hidden="false" customHeight="false" outlineLevel="0" collapsed="false">
      <c r="A23" s="2" t="s">
        <v>1336</v>
      </c>
      <c r="B23" s="13" t="n">
        <f aca="false">COUNTA(Floorplans!A2:A1000)</f>
        <v>166</v>
      </c>
    </row>
    <row r="24" customFormat="false" ht="15" hidden="false" customHeight="false" outlineLevel="0" collapsed="false">
      <c r="A24" s="2" t="s">
        <v>1337</v>
      </c>
      <c r="B24" s="13" t="n">
        <f aca="false">COUNTIF(Floorplans!P2:P1000,"Yes")</f>
        <v>145</v>
      </c>
    </row>
    <row r="25" customFormat="false" ht="15" hidden="false" customHeight="false" outlineLevel="0" collapsed="false">
      <c r="A25" s="2" t="s">
        <v>1338</v>
      </c>
      <c r="B25" s="13" t="n">
        <f aca="false">COUNT(Floorplans!I2:I1000)</f>
        <v>147</v>
      </c>
    </row>
    <row r="26" customFormat="false" ht="15" hidden="false" customHeight="false" outlineLevel="0" collapsed="false">
      <c r="A26" s="2" t="s">
        <v>1339</v>
      </c>
      <c r="B26" s="13" t="n">
        <f aca="false">COUNTA(Floorplans!T2:T1000)</f>
        <v>144</v>
      </c>
    </row>
    <row r="27" customFormat="false" ht="15" hidden="false" customHeight="false" outlineLevel="0" collapsed="false">
      <c r="A27" s="2" t="s">
        <v>1340</v>
      </c>
      <c r="B27" s="13" t="n">
        <f aca="false">COUNTIF(Floorplans!S2:S1000,"Yes")</f>
        <v>69</v>
      </c>
    </row>
    <row r="28" customFormat="false" ht="15" hidden="false" customHeight="false" outlineLevel="0" collapsed="false">
      <c r="A28" s="2" t="s">
        <v>1341</v>
      </c>
      <c r="B28" s="13" t="n">
        <f aca="false">B23-COUNT(Floorplans!R2:R1000)</f>
        <v>166</v>
      </c>
    </row>
    <row r="29" customFormat="false" ht="15" hidden="false" customHeight="false" outlineLevel="0" collapsed="false">
      <c r="A29" s="2" t="s">
        <v>34</v>
      </c>
      <c r="B29" s="13" t="n">
        <f aca="false">COUNTA('Needs review'!A2:A1000)</f>
        <v>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2026-10-09T19:27:26Z</dcterms:created>
  <dc:creator>openpyxl</dc:creator>
  <dc:description/>
  <dc:language>en-US</dc:language>
  <cp:lastModifiedBy/>
  <dcterms:modified xsi:type="dcterms:W3CDTF">2026-10-09T19:27:27Z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